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PI Summary" sheetId="1" state="visible" r:id="rId3"/>
    <sheet name="Exec Summary" sheetId="2" state="visible" r:id="rId4"/>
    <sheet name="Monthly" sheetId="3" state="visible" r:id="rId5"/>
    <sheet name="Categories" sheetId="4" state="visible" r:id="rId6"/>
    <sheet name="Complaint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Input: pick any month from the list (yellow = editable).</t>
        </r>
      </text>
    </comment>
  </commentList>
</comments>
</file>

<file path=xl/sharedStrings.xml><?xml version="1.0" encoding="utf-8"?>
<sst xmlns="http://schemas.openxmlformats.org/spreadsheetml/2006/main" count="121" uniqueCount="107">
  <si>
    <t xml:space="preserve">E-commerce KPI Pack</t>
  </si>
  <si>
    <t xml:space="preserve">Olist marketplace · delivered orders · values in BRL</t>
  </si>
  <si>
    <t xml:space="preserve">Select month:</t>
  </si>
  <si>
    <t xml:space="preserve">2018-08</t>
  </si>
  <si>
    <t xml:space="preserve">KPI</t>
  </si>
  <si>
    <t xml:space="preserve">Selected month</t>
  </si>
  <si>
    <t xml:space="preserve">Previous month</t>
  </si>
  <si>
    <t xml:space="preserve">Change</t>
  </si>
  <si>
    <t xml:space="preserve">All months</t>
  </si>
  <si>
    <t xml:space="preserve">Orders</t>
  </si>
  <si>
    <t xml:space="preserve">Revenue (BRL)</t>
  </si>
  <si>
    <t xml:space="preserve">Avg order value (BRL)</t>
  </si>
  <si>
    <t xml:space="preserve">Late delivery %</t>
  </si>
  <si>
    <t xml:space="preserve">Avg review score</t>
  </si>
  <si>
    <t xml:space="preserve">Note: the first month has no previous month, so its comparison columns show 0.</t>
  </si>
  <si>
    <t xml:space="preserve">Executive summary</t>
  </si>
  <si>
    <t xml:space="preserve">Workflow: AI writes a first draft from the numbers -&gt; analyst checks every figure against 'KPI Summary' and edits the yellow column -&gt; only the analyst column is sent.</t>
  </si>
  <si>
    <t xml:space="preserve">Template draft (no AI available)</t>
  </si>
  <si>
    <t xml:space="preserve">Analyst final (edit me)</t>
  </si>
  <si>
    <t xml:space="preserve">Checked? (Y/N)</t>
  </si>
  <si>
    <t xml:space="preserve">96,211 delivered orders worth R$ 13,181,027 (2017-01 to 2018-08).</t>
  </si>
  <si>
    <t xml:space="preserve">N</t>
  </si>
  <si>
    <t xml:space="preserve">2018-08 revenue was R$ 838,577, -3.4% vs the previous month.</t>
  </si>
  <si>
    <t xml:space="preserve">8.1% of orders arrived late; average review score is 4.16 / 5.</t>
  </si>
  <si>
    <t xml:space="preserve">Top revenue category: health_beauty. Lowest-rated large category: office_furniture.</t>
  </si>
  <si>
    <t xml:space="preserve">Most common complaint topics: not received, wrong or missing item, late delivery.</t>
  </si>
  <si>
    <t xml:space="preserve">Recommended action: prioritise on-time delivery in the worst-performing states, since late orders score ~1.7 stars lower.</t>
  </si>
  <si>
    <t xml:space="preserve">Bullets checked:</t>
  </si>
  <si>
    <t xml:space="preserve">month</t>
  </si>
  <si>
    <t xml:space="preserve">orders</t>
  </si>
  <si>
    <t xml:space="preserve">revenue</t>
  </si>
  <si>
    <t xml:space="preserve">late_orders</t>
  </si>
  <si>
    <t xml:space="preserve">orders_with_delivery_date</t>
  </si>
  <si>
    <t xml:space="preserve">reviews</t>
  </si>
  <si>
    <t xml:space="preserve">review_points</t>
  </si>
  <si>
    <t xml:space="preserve">AOV (BRL)</t>
  </si>
  <si>
    <t xml:space="preserve">Late %</t>
  </si>
  <si>
    <t xml:space="preserve">Avg score</t>
  </si>
  <si>
    <t xml:space="preserve">Revenue MoM %</t>
  </si>
  <si>
    <t xml:space="preserve">2017-01</t>
  </si>
  <si>
    <t xml:space="preserve">-</t>
  </si>
  <si>
    <t xml:space="preserve">2017-02</t>
  </si>
  <si>
    <t xml:space="preserve">2017-03</t>
  </si>
  <si>
    <t xml:space="preserve">2017-04</t>
  </si>
  <si>
    <t xml:space="preserve">2017-05</t>
  </si>
  <si>
    <t xml:space="preserve">2017-06</t>
  </si>
  <si>
    <t xml:space="preserve">2017-07</t>
  </si>
  <si>
    <t xml:space="preserve">2017-08</t>
  </si>
  <si>
    <t xml:space="preserve">2017-09</t>
  </si>
  <si>
    <t xml:space="preserve">2017-10</t>
  </si>
  <si>
    <t xml:space="preserve">2017-11</t>
  </si>
  <si>
    <t xml:space="preserve">2017-12</t>
  </si>
  <si>
    <t xml:space="preserve">2018-01</t>
  </si>
  <si>
    <t xml:space="preserve">2018-02</t>
  </si>
  <si>
    <t xml:space="preserve">2018-03</t>
  </si>
  <si>
    <t xml:space="preserve">2018-04</t>
  </si>
  <si>
    <t xml:space="preserve">2018-05</t>
  </si>
  <si>
    <t xml:space="preserve">2018-06</t>
  </si>
  <si>
    <t xml:space="preserve">2018-07</t>
  </si>
  <si>
    <t xml:space="preserve">category</t>
  </si>
  <si>
    <t xml:space="preserve">avg_score</t>
  </si>
  <si>
    <t xml:space="preserve">Revenue share</t>
  </si>
  <si>
    <t xml:space="preserve">Revenue rank</t>
  </si>
  <si>
    <t xml:space="preserve">health_beauty</t>
  </si>
  <si>
    <t xml:space="preserve">watches_gifts</t>
  </si>
  <si>
    <t xml:space="preserve">bed_bath_table</t>
  </si>
  <si>
    <t xml:space="preserve">sports_leisure</t>
  </si>
  <si>
    <t xml:space="preserve">computers_accessories</t>
  </si>
  <si>
    <t xml:space="preserve">furniture_decor</t>
  </si>
  <si>
    <t xml:space="preserve">housewares</t>
  </si>
  <si>
    <t xml:space="preserve">cool_stuff</t>
  </si>
  <si>
    <t xml:space="preserve">auto</t>
  </si>
  <si>
    <t xml:space="preserve">toys</t>
  </si>
  <si>
    <t xml:space="preserve">garden_tools</t>
  </si>
  <si>
    <t xml:space="preserve">baby</t>
  </si>
  <si>
    <t xml:space="preserve">perfumery</t>
  </si>
  <si>
    <t xml:space="preserve">telephony</t>
  </si>
  <si>
    <t xml:space="preserve">office_furniture</t>
  </si>
  <si>
    <t xml:space="preserve">stationery</t>
  </si>
  <si>
    <t xml:space="preserve">pet_shop</t>
  </si>
  <si>
    <t xml:space="preserve">musical_instruments</t>
  </si>
  <si>
    <t xml:space="preserve">small_appliances</t>
  </si>
  <si>
    <t xml:space="preserve">unknown</t>
  </si>
  <si>
    <t xml:space="preserve">electronics</t>
  </si>
  <si>
    <t xml:space="preserve">fashion_bags_accessories</t>
  </si>
  <si>
    <t xml:space="preserve">consoles_games</t>
  </si>
  <si>
    <t xml:space="preserve">construction_tools_construction</t>
  </si>
  <si>
    <t xml:space="preserve">luggage_accessories</t>
  </si>
  <si>
    <t xml:space="preserve">home_appliances</t>
  </si>
  <si>
    <t xml:space="preserve">home_construction</t>
  </si>
  <si>
    <t xml:space="preserve">furniture_living_room</t>
  </si>
  <si>
    <t xml:space="preserve">home_confort</t>
  </si>
  <si>
    <t xml:space="preserve">audio</t>
  </si>
  <si>
    <t xml:space="preserve">books_general_interest</t>
  </si>
  <si>
    <t xml:space="preserve">food</t>
  </si>
  <si>
    <t xml:space="preserve">topic</t>
  </si>
  <si>
    <t xml:space="preserve">negative_reviews</t>
  </si>
  <si>
    <t xml:space="preserve">high_urgency</t>
  </si>
  <si>
    <t xml:space="preserve">Share of complaints</t>
  </si>
  <si>
    <t xml:space="preserve">not_received</t>
  </si>
  <si>
    <t xml:space="preserve">wrong_or_missing_item</t>
  </si>
  <si>
    <t xml:space="preserve">late_delivery</t>
  </si>
  <si>
    <t xml:space="preserve">seller_service</t>
  </si>
  <si>
    <t xml:space="preserve">damaged_or_defective</t>
  </si>
  <si>
    <t xml:space="preserve">other</t>
  </si>
  <si>
    <t xml:space="preserve">quality_not_as_described</t>
  </si>
  <si>
    <t xml:space="preserve">Source: AI labels of review text, provider = rules (see results/evaluation.md for measured accuracy).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</si>
</sst>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\+0.0%;\-0.0%;\-"/>
    <numFmt numFmtId="167" formatCode="#,##0.00"/>
    <numFmt numFmtId="168" formatCode="0.0%"/>
    <numFmt numFmtId="169" formatCode="0.00"/>
    <numFmt numFmtId="170" formatCode="\+0.00;\-0.00;\-"/>
    <numFmt numFmtId="171" formatCode="0.0%;\(0.0%\);\-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Arial"/>
      <family val="2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4A7EBB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revenue (BRL)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Monthly!C1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Monthly!$A$2:$A$21</c:f>
              <c:strCache>
                <c:ptCount val="20"/>
                <c:pt idx="0">
                  <c:v>2017-01</c:v>
                </c:pt>
                <c:pt idx="1">
                  <c:v>2017-02</c:v>
                </c:pt>
                <c:pt idx="2">
                  <c:v>2017-03</c:v>
                </c:pt>
                <c:pt idx="3">
                  <c:v>2017-04</c:v>
                </c:pt>
                <c:pt idx="4">
                  <c:v>2017-05</c:v>
                </c:pt>
                <c:pt idx="5">
                  <c:v>2017-06</c:v>
                </c:pt>
                <c:pt idx="6">
                  <c:v>2017-07</c:v>
                </c:pt>
                <c:pt idx="7">
                  <c:v>2017-08</c:v>
                </c:pt>
                <c:pt idx="8">
                  <c:v>2017-09</c:v>
                </c:pt>
                <c:pt idx="9">
                  <c:v>2017-10</c:v>
                </c:pt>
                <c:pt idx="10">
                  <c:v>2017-11</c:v>
                </c:pt>
                <c:pt idx="11">
                  <c:v>2017-12</c:v>
                </c:pt>
                <c:pt idx="12">
                  <c:v>2018-01</c:v>
                </c:pt>
                <c:pt idx="13">
                  <c:v>2018-02</c:v>
                </c:pt>
                <c:pt idx="14">
                  <c:v>2018-03</c:v>
                </c:pt>
                <c:pt idx="15">
                  <c:v>2018-04</c:v>
                </c:pt>
                <c:pt idx="16">
                  <c:v>2018-05</c:v>
                </c:pt>
                <c:pt idx="17">
                  <c:v>2018-06</c:v>
                </c:pt>
                <c:pt idx="18">
                  <c:v>2018-07</c:v>
                </c:pt>
                <c:pt idx="19">
                  <c:v>2018-08</c:v>
                </c:pt>
              </c:strCache>
            </c:strRef>
          </c:cat>
          <c:val>
            <c:numRef>
              <c:f>Monthly!$C$2:$C$21</c:f>
              <c:numCache>
                <c:formatCode>#,##0</c:formatCode>
                <c:ptCount val="20"/>
                <c:pt idx="0">
                  <c:v>111798.36</c:v>
                </c:pt>
                <c:pt idx="1">
                  <c:v>234223.4</c:v>
                </c:pt>
                <c:pt idx="2">
                  <c:v>359198.85</c:v>
                </c:pt>
                <c:pt idx="3">
                  <c:v>340669.68</c:v>
                </c:pt>
                <c:pt idx="4">
                  <c:v>489338.25</c:v>
                </c:pt>
                <c:pt idx="5">
                  <c:v>421923.37</c:v>
                </c:pt>
                <c:pt idx="6">
                  <c:v>481604.52</c:v>
                </c:pt>
                <c:pt idx="7">
                  <c:v>554699.7</c:v>
                </c:pt>
                <c:pt idx="8">
                  <c:v>607399.67</c:v>
                </c:pt>
                <c:pt idx="9">
                  <c:v>648247.65</c:v>
                </c:pt>
                <c:pt idx="10">
                  <c:v>987765.37</c:v>
                </c:pt>
                <c:pt idx="11">
                  <c:v>726033.19</c:v>
                </c:pt>
                <c:pt idx="12">
                  <c:v>924645</c:v>
                </c:pt>
                <c:pt idx="13">
                  <c:v>826437.13</c:v>
                </c:pt>
                <c:pt idx="14">
                  <c:v>953356.25</c:v>
                </c:pt>
                <c:pt idx="15">
                  <c:v>973534.09</c:v>
                </c:pt>
                <c:pt idx="16">
                  <c:v>977544.69</c:v>
                </c:pt>
                <c:pt idx="17">
                  <c:v>856077.86</c:v>
                </c:pt>
                <c:pt idx="18">
                  <c:v>867953.46</c:v>
                </c:pt>
                <c:pt idx="19">
                  <c:v>838576.64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5617479"/>
        <c:axId val="18473249"/>
      </c:lineChart>
      <c:catAx>
        <c:axId val="65617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473249"/>
        <c:crosses val="autoZero"/>
        <c:auto val="1"/>
        <c:lblAlgn val="ctr"/>
        <c:lblOffset val="100"/>
        <c:noMultiLvlLbl val="0"/>
      </c:catAx>
      <c:valAx>
        <c:axId val="184732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61747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Complaint topics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Complaints!B1</c:f>
              <c:strCache>
                <c:ptCount val="1"/>
                <c:pt idx="0">
                  <c:v>negative_reviews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Complaints!$A$2:$A$8</c:f>
              <c:strCache>
                <c:ptCount val="7"/>
                <c:pt idx="0">
                  <c:v>not_received</c:v>
                </c:pt>
                <c:pt idx="1">
                  <c:v>wrong_or_missing_item</c:v>
                </c:pt>
                <c:pt idx="2">
                  <c:v>late_delivery</c:v>
                </c:pt>
                <c:pt idx="3">
                  <c:v>seller_service</c:v>
                </c:pt>
                <c:pt idx="4">
                  <c:v>damaged_or_defective</c:v>
                </c:pt>
                <c:pt idx="5">
                  <c:v>other</c:v>
                </c:pt>
                <c:pt idx="6">
                  <c:v>quality_not_as_described</c:v>
                </c:pt>
              </c:strCache>
            </c:strRef>
          </c:cat>
          <c:val>
            <c:numRef>
              <c:f>Complaints!$B$2:$B$8</c:f>
              <c:numCache>
                <c:formatCode>General</c:formatCode>
                <c:ptCount val="7"/>
                <c:pt idx="0">
                  <c:v>3764</c:v>
                </c:pt>
                <c:pt idx="1">
                  <c:v>1796</c:v>
                </c:pt>
                <c:pt idx="2">
                  <c:v>1578</c:v>
                </c:pt>
                <c:pt idx="3">
                  <c:v>1516</c:v>
                </c:pt>
                <c:pt idx="4">
                  <c:v>999</c:v>
                </c:pt>
                <c:pt idx="5">
                  <c:v>895</c:v>
                </c:pt>
                <c:pt idx="6">
                  <c:v>647</c:v>
                </c:pt>
              </c:numCache>
            </c:numRef>
          </c:val>
        </c:ser>
        <c:gapWidth val="150"/>
        <c:overlap val="0"/>
        <c:axId val="61810557"/>
        <c:axId val="34400156"/>
      </c:barChart>
      <c:catAx>
        <c:axId val="618105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400156"/>
        <c:crosses val="autoZero"/>
        <c:auto val="1"/>
        <c:lblAlgn val="ctr"/>
        <c:lblOffset val="100"/>
        <c:noMultiLvlLbl val="0"/>
      </c:catAx>
      <c:valAx>
        <c:axId val="344001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81055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0</xdr:row>
      <xdr:rowOff>190440</xdr:rowOff>
    </xdr:from>
    <xdr:to>
      <xdr:col>22</xdr:col>
      <xdr:colOff>364680</xdr:colOff>
      <xdr:row>15</xdr:row>
      <xdr:rowOff>61920</xdr:rowOff>
    </xdr:to>
    <xdr:graphicFrame>
      <xdr:nvGraphicFramePr>
        <xdr:cNvPr id="0" name="Chart 1"/>
        <xdr:cNvGraphicFramePr/>
      </xdr:nvGraphicFramePr>
      <xdr:xfrm>
        <a:off x="9210600" y="19044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190440</xdr:rowOff>
    </xdr:from>
    <xdr:to>
      <xdr:col>14</xdr:col>
      <xdr:colOff>255960</xdr:colOff>
      <xdr:row>15</xdr:row>
      <xdr:rowOff>61920</xdr:rowOff>
    </xdr:to>
    <xdr:graphicFrame>
      <xdr:nvGraphicFramePr>
        <xdr:cNvPr id="1" name="Chart 1"/>
        <xdr:cNvGraphicFramePr/>
      </xdr:nvGraphicFramePr>
      <xdr:xfrm>
        <a:off x="5756760" y="19044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4" min="3" style="0" width="16"/>
    <col collapsed="false" customWidth="true" hidden="false" outlineLevel="0" max="5" min="5" style="0" width="12"/>
    <col collapsed="false" customWidth="true" hidden="false" outlineLevel="0" max="6" min="6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0" t="s">
        <v>2</v>
      </c>
      <c r="B4" s="3" t="s">
        <v>3</v>
      </c>
    </row>
    <row r="6" customFormat="false" ht="26.85" hidden="false" customHeight="false" outlineLevel="0" collapsed="false"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</row>
    <row r="7" customFormat="false" ht="15" hidden="false" customHeight="false" outlineLevel="0" collapsed="false">
      <c r="B7" s="5" t="s">
        <v>9</v>
      </c>
      <c r="C7" s="6" t="n">
        <f aca="false">INDEX(Monthly!$B$2:$B$21,MATCH($B$4,Monthly!$A$2:$A$21,0))</f>
        <v>6351</v>
      </c>
      <c r="D7" s="6" t="n">
        <f aca="false">IFERROR(INDEX(Monthly!$B$2:$B$21,MATCH($B$4,Monthly!$A$2:$A$21,0)-1),0)</f>
        <v>6159</v>
      </c>
      <c r="E7" s="7" t="n">
        <f aca="false">IFERROR(C7/D7-1,0)</f>
        <v>0.0311738918655626</v>
      </c>
      <c r="F7" s="6" t="n">
        <f aca="false">SUM(Monthly!$B$2:$B$21)</f>
        <v>96211</v>
      </c>
    </row>
    <row r="8" customFormat="false" ht="15" hidden="false" customHeight="false" outlineLevel="0" collapsed="false">
      <c r="B8" s="5" t="s">
        <v>10</v>
      </c>
      <c r="C8" s="6" t="n">
        <f aca="false">INDEX(Monthly!$C$2:$C$21,MATCH($B$4,Monthly!$A$2:$A$21,0))</f>
        <v>838576.64</v>
      </c>
      <c r="D8" s="6" t="n">
        <f aca="false">IFERROR(INDEX(Monthly!$C$2:$C$21,MATCH($B$4,Monthly!$A$2:$A$21,0)-1),0)</f>
        <v>867953.46</v>
      </c>
      <c r="E8" s="7" t="n">
        <f aca="false">IFERROR(C8/D8-1,0)</f>
        <v>-0.0338460774152567</v>
      </c>
      <c r="F8" s="6" t="n">
        <f aca="false">SUM(Monthly!$C$2:$C$21)</f>
        <v>13181027.13</v>
      </c>
    </row>
    <row r="9" customFormat="false" ht="15" hidden="false" customHeight="false" outlineLevel="0" collapsed="false">
      <c r="B9" s="5" t="s">
        <v>11</v>
      </c>
      <c r="C9" s="8" t="n">
        <f aca="false">IFERROR(C8/C7,0)</f>
        <v>132.038519918123</v>
      </c>
      <c r="D9" s="8" t="n">
        <f aca="false">IFERROR(D8/D7,0)</f>
        <v>140.924413054067</v>
      </c>
      <c r="E9" s="7" t="n">
        <f aca="false">IFERROR(C9/D9-1,0)</f>
        <v>-0.0630543207054898</v>
      </c>
      <c r="F9" s="8" t="n">
        <f aca="false">IFERROR(F8/F7,0)</f>
        <v>137.001248609826</v>
      </c>
    </row>
    <row r="10" customFormat="false" ht="15" hidden="false" customHeight="false" outlineLevel="0" collapsed="false">
      <c r="B10" s="5" t="s">
        <v>12</v>
      </c>
      <c r="C10" s="9" t="n">
        <f aca="false">IFERROR(INDEX(Monthly!$D$2:$D$21,MATCH($B$4,Monthly!$A$2:$A$21,0))/INDEX(Monthly!$E$2:$E$21,MATCH($B$4,Monthly!$A$2:$A$21,0)),0)</f>
        <v>0.103920642418517</v>
      </c>
      <c r="D10" s="9" t="n">
        <f aca="false">IFERROR(INDEX(Monthly!$D$2:$D$21,MATCH($B$4,Monthly!$A$2:$A$21,0)-1)/INDEX(Monthly!$E$2:$E$21,MATCH($B$4,Monthly!$A$2:$A$21,0)-1),0)</f>
        <v>0.0448343079922027</v>
      </c>
      <c r="E10" s="7" t="n">
        <f aca="false">C10-D10</f>
        <v>0.059086334426314</v>
      </c>
      <c r="F10" s="9" t="n">
        <f aca="false">SUM(Monthly!$D$2:$D$21)/SUM(Monthly!$E$2:$E$21)</f>
        <v>0.0813072357410892</v>
      </c>
    </row>
    <row r="11" customFormat="false" ht="15" hidden="false" customHeight="false" outlineLevel="0" collapsed="false">
      <c r="B11" s="5" t="s">
        <v>13</v>
      </c>
      <c r="C11" s="10" t="n">
        <f aca="false">IFERROR(INDEX(Monthly!$G$2:$G$21,MATCH($B$4,Monthly!$A$2:$A$21,0))/INDEX(Monthly!$F$2:$F$21,MATCH($B$4,Monthly!$A$2:$A$21,0)),0)</f>
        <v>4.31034755134281</v>
      </c>
      <c r="D11" s="10" t="n">
        <f aca="false">IFERROR(INDEX(Monthly!$G$2:$G$21,MATCH($B$4,Monthly!$A$2:$A$21,0)-1)/INDEX(Monthly!$F$2:$F$21,MATCH($B$4,Monthly!$A$2:$A$21,0)-1),0)</f>
        <v>4.31808528018298</v>
      </c>
      <c r="E11" s="11" t="n">
        <f aca="false">C11-D11</f>
        <v>-0.00773772884016388</v>
      </c>
      <c r="F11" s="10" t="n">
        <f aca="false">SUM(Monthly!$G$2:$G$21)/SUM(Monthly!$F$2:$F$21)</f>
        <v>4.15660751157989</v>
      </c>
    </row>
    <row r="13" customFormat="false" ht="15" hidden="false" customHeight="false" outlineLevel="0" collapsed="false">
      <c r="B13" s="12" t="s">
        <v>14</v>
      </c>
    </row>
  </sheetData>
  <dataValidations count="1">
    <dataValidation allowBlank="false" errorStyle="stop" operator="between" showDropDown="false" showErrorMessage="false" showInputMessage="false" sqref="B4" type="list">
      <formula1>Monthly!$A$2:$A$21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0"/>
    <col collapsed="false" customWidth="true" hidden="false" outlineLevel="0" max="3" min="3" style="0" width="14"/>
  </cols>
  <sheetData>
    <row r="1" customFormat="false" ht="19.7" hidden="false" customHeight="false" outlineLevel="0" collapsed="false">
      <c r="A1" s="1" t="s">
        <v>15</v>
      </c>
    </row>
    <row r="2" customFormat="false" ht="15" hidden="false" customHeight="false" outlineLevel="0" collapsed="false">
      <c r="A2" s="2" t="s">
        <v>16</v>
      </c>
    </row>
    <row r="4" customFormat="false" ht="26.85" hidden="false" customHeight="false" outlineLevel="0" collapsed="false">
      <c r="A4" s="4" t="s">
        <v>17</v>
      </c>
      <c r="B4" s="4" t="s">
        <v>18</v>
      </c>
      <c r="C4" s="4" t="s">
        <v>19</v>
      </c>
    </row>
    <row r="5" customFormat="false" ht="15" hidden="false" customHeight="false" outlineLevel="0" collapsed="false">
      <c r="A5" s="13" t="s">
        <v>20</v>
      </c>
      <c r="B5" s="14" t="s">
        <v>20</v>
      </c>
      <c r="C5" s="14" t="s">
        <v>21</v>
      </c>
    </row>
    <row r="6" customFormat="false" ht="15" hidden="false" customHeight="false" outlineLevel="0" collapsed="false">
      <c r="A6" s="13" t="s">
        <v>22</v>
      </c>
      <c r="B6" s="14" t="s">
        <v>22</v>
      </c>
      <c r="C6" s="14" t="s">
        <v>21</v>
      </c>
    </row>
    <row r="7" customFormat="false" ht="15" hidden="false" customHeight="false" outlineLevel="0" collapsed="false">
      <c r="A7" s="13" t="s">
        <v>23</v>
      </c>
      <c r="B7" s="14" t="s">
        <v>23</v>
      </c>
      <c r="C7" s="14" t="s">
        <v>21</v>
      </c>
    </row>
    <row r="8" customFormat="false" ht="26.85" hidden="false" customHeight="false" outlineLevel="0" collapsed="false">
      <c r="A8" s="13" t="s">
        <v>24</v>
      </c>
      <c r="B8" s="14" t="s">
        <v>24</v>
      </c>
      <c r="C8" s="14" t="s">
        <v>21</v>
      </c>
    </row>
    <row r="9" customFormat="false" ht="26.85" hidden="false" customHeight="false" outlineLevel="0" collapsed="false">
      <c r="A9" s="13" t="s">
        <v>25</v>
      </c>
      <c r="B9" s="14" t="s">
        <v>25</v>
      </c>
      <c r="C9" s="14" t="s">
        <v>21</v>
      </c>
    </row>
    <row r="10" customFormat="false" ht="26.85" hidden="false" customHeight="false" outlineLevel="0" collapsed="false">
      <c r="A10" s="13" t="s">
        <v>26</v>
      </c>
      <c r="B10" s="14" t="s">
        <v>26</v>
      </c>
      <c r="C10" s="14" t="s">
        <v>21</v>
      </c>
    </row>
    <row r="12" customFormat="false" ht="15" hidden="false" customHeight="false" outlineLevel="0" collapsed="false">
      <c r="A12" s="15" t="s">
        <v>27</v>
      </c>
      <c r="B12" s="15" t="str">
        <f aca="false">COUNTIF(C5:C10,"Y")&amp;" of 6"</f>
        <v>0 of 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13"/>
  </cols>
  <sheetData>
    <row r="1" customFormat="false" ht="26.85" hidden="false" customHeight="false" outlineLevel="0" collapsed="false">
      <c r="A1" s="4" t="s">
        <v>28</v>
      </c>
      <c r="B1" s="4" t="s">
        <v>29</v>
      </c>
      <c r="C1" s="4" t="s">
        <v>30</v>
      </c>
      <c r="D1" s="4" t="s">
        <v>31</v>
      </c>
      <c r="E1" s="4" t="s">
        <v>32</v>
      </c>
      <c r="F1" s="4" t="s">
        <v>33</v>
      </c>
      <c r="G1" s="4" t="s">
        <v>34</v>
      </c>
      <c r="H1" s="4" t="s">
        <v>35</v>
      </c>
      <c r="I1" s="4" t="s">
        <v>36</v>
      </c>
      <c r="J1" s="4" t="s">
        <v>37</v>
      </c>
      <c r="K1" s="4" t="s">
        <v>38</v>
      </c>
    </row>
    <row r="2" customFormat="false" ht="15" hidden="false" customHeight="false" outlineLevel="0" collapsed="false">
      <c r="A2" s="16" t="s">
        <v>39</v>
      </c>
      <c r="B2" s="6" t="n">
        <v>750</v>
      </c>
      <c r="C2" s="6" t="n">
        <v>111798.36</v>
      </c>
      <c r="D2" s="16" t="n">
        <v>23</v>
      </c>
      <c r="E2" s="16" t="n">
        <v>750</v>
      </c>
      <c r="F2" s="16" t="n">
        <v>741</v>
      </c>
      <c r="G2" s="16" t="n">
        <v>3111.5</v>
      </c>
      <c r="H2" s="8" t="n">
        <f aca="false">IFERROR(C2/B2,0)</f>
        <v>149.06448</v>
      </c>
      <c r="I2" s="9" t="n">
        <f aca="false">IFERROR(D2/E2,0)</f>
        <v>0.0306666666666667</v>
      </c>
      <c r="J2" s="10" t="n">
        <f aca="false">IFERROR(G2/F2,0)</f>
        <v>4.19905533063428</v>
      </c>
      <c r="K2" s="17" t="s">
        <v>40</v>
      </c>
    </row>
    <row r="3" customFormat="false" ht="15" hidden="false" customHeight="false" outlineLevel="0" collapsed="false">
      <c r="A3" s="16" t="s">
        <v>41</v>
      </c>
      <c r="B3" s="6" t="n">
        <v>1653</v>
      </c>
      <c r="C3" s="6" t="n">
        <v>234223.4</v>
      </c>
      <c r="D3" s="16" t="n">
        <v>53</v>
      </c>
      <c r="E3" s="16" t="n">
        <v>1653</v>
      </c>
      <c r="F3" s="16" t="n">
        <v>1643</v>
      </c>
      <c r="G3" s="16" t="n">
        <v>6905</v>
      </c>
      <c r="H3" s="8" t="n">
        <f aca="false">IFERROR(C3/B3,0)</f>
        <v>141.69594676346</v>
      </c>
      <c r="I3" s="9" t="n">
        <f aca="false">IFERROR(D3/E3,0)</f>
        <v>0.0320629159104658</v>
      </c>
      <c r="J3" s="10" t="n">
        <f aca="false">IFERROR(G3/F3,0)</f>
        <v>4.20267802799757</v>
      </c>
      <c r="K3" s="17" t="n">
        <f aca="false">IFERROR(C3/C2-1,0)</f>
        <v>1.09505219933459</v>
      </c>
    </row>
    <row r="4" customFormat="false" ht="15" hidden="false" customHeight="false" outlineLevel="0" collapsed="false">
      <c r="A4" s="16" t="s">
        <v>42</v>
      </c>
      <c r="B4" s="6" t="n">
        <v>2546</v>
      </c>
      <c r="C4" s="6" t="n">
        <v>359198.85</v>
      </c>
      <c r="D4" s="16" t="n">
        <v>142</v>
      </c>
      <c r="E4" s="16" t="n">
        <v>2546</v>
      </c>
      <c r="F4" s="16" t="n">
        <v>2527</v>
      </c>
      <c r="G4" s="16" t="n">
        <v>10581.5</v>
      </c>
      <c r="H4" s="8" t="n">
        <f aca="false">IFERROR(C4/B4,0)</f>
        <v>141.083601728201</v>
      </c>
      <c r="I4" s="9" t="n">
        <f aca="false">IFERROR(D4/E4,0)</f>
        <v>0.0557737627651218</v>
      </c>
      <c r="J4" s="10" t="n">
        <f aca="false">IFERROR(G4/F4,0)</f>
        <v>4.18737633557578</v>
      </c>
      <c r="K4" s="17" t="n">
        <f aca="false">IFERROR(C4/C3-1,0)</f>
        <v>0.533573716375051</v>
      </c>
    </row>
    <row r="5" customFormat="false" ht="15" hidden="false" customHeight="false" outlineLevel="0" collapsed="false">
      <c r="A5" s="16" t="s">
        <v>43</v>
      </c>
      <c r="B5" s="6" t="n">
        <v>2303</v>
      </c>
      <c r="C5" s="6" t="n">
        <v>340669.68</v>
      </c>
      <c r="D5" s="16" t="n">
        <v>181</v>
      </c>
      <c r="E5" s="16" t="n">
        <v>2303</v>
      </c>
      <c r="F5" s="16" t="n">
        <v>2290</v>
      </c>
      <c r="G5" s="16" t="n">
        <v>9475</v>
      </c>
      <c r="H5" s="8" t="n">
        <f aca="false">IFERROR(C5/B5,0)</f>
        <v>147.924307425098</v>
      </c>
      <c r="I5" s="9" t="n">
        <f aca="false">IFERROR(D5/E5,0)</f>
        <v>0.0785931393834129</v>
      </c>
      <c r="J5" s="10" t="n">
        <f aca="false">IFERROR(G5/F5,0)</f>
        <v>4.13755458515284</v>
      </c>
      <c r="K5" s="17" t="n">
        <f aca="false">IFERROR(C5/C4-1,0)</f>
        <v>-0.0515847141492797</v>
      </c>
    </row>
    <row r="6" customFormat="false" ht="15" hidden="false" customHeight="false" outlineLevel="0" collapsed="false">
      <c r="A6" s="16" t="s">
        <v>44</v>
      </c>
      <c r="B6" s="6" t="n">
        <v>3546</v>
      </c>
      <c r="C6" s="6" t="n">
        <v>489338.25</v>
      </c>
      <c r="D6" s="16" t="n">
        <v>128</v>
      </c>
      <c r="E6" s="16" t="n">
        <v>3545</v>
      </c>
      <c r="F6" s="16" t="n">
        <v>3518</v>
      </c>
      <c r="G6" s="16" t="n">
        <v>14911</v>
      </c>
      <c r="H6" s="8" t="n">
        <f aca="false">IFERROR(C6/B6,0)</f>
        <v>137.997250423012</v>
      </c>
      <c r="I6" s="9" t="n">
        <f aca="false">IFERROR(D6/E6,0)</f>
        <v>0.0361071932299013</v>
      </c>
      <c r="J6" s="10" t="n">
        <f aca="false">IFERROR(G6/F6,0)</f>
        <v>4.23848777714611</v>
      </c>
      <c r="K6" s="17" t="n">
        <f aca="false">IFERROR(C6/C5-1,0)</f>
        <v>0.43640094416386</v>
      </c>
    </row>
    <row r="7" customFormat="false" ht="15" hidden="false" customHeight="false" outlineLevel="0" collapsed="false">
      <c r="A7" s="16" t="s">
        <v>45</v>
      </c>
      <c r="B7" s="6" t="n">
        <v>3135</v>
      </c>
      <c r="C7" s="6" t="n">
        <v>421923.37</v>
      </c>
      <c r="D7" s="16" t="n">
        <v>121</v>
      </c>
      <c r="E7" s="16" t="n">
        <v>3135</v>
      </c>
      <c r="F7" s="16" t="n">
        <v>3111</v>
      </c>
      <c r="G7" s="16" t="n">
        <v>13137.5</v>
      </c>
      <c r="H7" s="8" t="n">
        <f aca="false">IFERROR(C7/B7,0)</f>
        <v>134.584807017544</v>
      </c>
      <c r="I7" s="9" t="n">
        <f aca="false">IFERROR(D7/E7,0)</f>
        <v>0.0385964912280702</v>
      </c>
      <c r="J7" s="10" t="n">
        <f aca="false">IFERROR(G7/F7,0)</f>
        <v>4.22291867566699</v>
      </c>
      <c r="K7" s="17" t="n">
        <f aca="false">IFERROR(C7/C6-1,0)</f>
        <v>-0.137767444094141</v>
      </c>
    </row>
    <row r="8" customFormat="false" ht="15" hidden="false" customHeight="false" outlineLevel="0" collapsed="false">
      <c r="A8" s="16" t="s">
        <v>46</v>
      </c>
      <c r="B8" s="6" t="n">
        <v>3872</v>
      </c>
      <c r="C8" s="6" t="n">
        <v>481604.52</v>
      </c>
      <c r="D8" s="16" t="n">
        <v>133</v>
      </c>
      <c r="E8" s="16" t="n">
        <v>3872</v>
      </c>
      <c r="F8" s="16" t="n">
        <v>3842</v>
      </c>
      <c r="G8" s="16" t="n">
        <v>16360.8333333333</v>
      </c>
      <c r="H8" s="8" t="n">
        <f aca="false">IFERROR(C8/B8,0)</f>
        <v>124.381332644628</v>
      </c>
      <c r="I8" s="9" t="n">
        <f aca="false">IFERROR(D8/E8,0)</f>
        <v>0.034349173553719</v>
      </c>
      <c r="J8" s="10" t="n">
        <f aca="false">IFERROR(G8/F8,0)</f>
        <v>4.2584157556828</v>
      </c>
      <c r="K8" s="17" t="n">
        <f aca="false">IFERROR(C8/C7-1,0)</f>
        <v>0.141450211681804</v>
      </c>
    </row>
    <row r="9" customFormat="false" ht="15" hidden="false" customHeight="false" outlineLevel="0" collapsed="false">
      <c r="A9" s="16" t="s">
        <v>47</v>
      </c>
      <c r="B9" s="6" t="n">
        <v>4193</v>
      </c>
      <c r="C9" s="6" t="n">
        <v>554699.7</v>
      </c>
      <c r="D9" s="16" t="n">
        <v>139</v>
      </c>
      <c r="E9" s="16" t="n">
        <v>4193</v>
      </c>
      <c r="F9" s="16" t="n">
        <v>4165</v>
      </c>
      <c r="G9" s="16" t="n">
        <v>17957.5</v>
      </c>
      <c r="H9" s="8" t="n">
        <f aca="false">IFERROR(C9/B9,0)</f>
        <v>132.291843548772</v>
      </c>
      <c r="I9" s="9" t="n">
        <f aca="false">IFERROR(D9/E9,0)</f>
        <v>0.0331504889100882</v>
      </c>
      <c r="J9" s="10" t="n">
        <f aca="false">IFERROR(G9/F9,0)</f>
        <v>4.31152460984394</v>
      </c>
      <c r="K9" s="17" t="n">
        <f aca="false">IFERROR(C9/C8-1,0)</f>
        <v>0.151774281520447</v>
      </c>
    </row>
    <row r="10" customFormat="false" ht="15" hidden="false" customHeight="false" outlineLevel="0" collapsed="false">
      <c r="A10" s="16" t="s">
        <v>48</v>
      </c>
      <c r="B10" s="6" t="n">
        <v>4150</v>
      </c>
      <c r="C10" s="6" t="n">
        <v>607399.67</v>
      </c>
      <c r="D10" s="16" t="n">
        <v>216</v>
      </c>
      <c r="E10" s="16" t="n">
        <v>4150</v>
      </c>
      <c r="F10" s="16" t="n">
        <v>4118</v>
      </c>
      <c r="G10" s="16" t="n">
        <v>17573.5</v>
      </c>
      <c r="H10" s="8" t="n">
        <f aca="false">IFERROR(C10/B10,0)</f>
        <v>146.36136626506</v>
      </c>
      <c r="I10" s="9" t="n">
        <f aca="false">IFERROR(D10/E10,0)</f>
        <v>0.0520481927710843</v>
      </c>
      <c r="J10" s="10" t="n">
        <f aca="false">IFERROR(G10/F10,0)</f>
        <v>4.26748421563866</v>
      </c>
      <c r="K10" s="17" t="n">
        <f aca="false">IFERROR(C10/C9-1,0)</f>
        <v>0.0950063070162108</v>
      </c>
    </row>
    <row r="11" customFormat="false" ht="15" hidden="false" customHeight="false" outlineLevel="0" collapsed="false">
      <c r="A11" s="16" t="s">
        <v>49</v>
      </c>
      <c r="B11" s="6" t="n">
        <v>4478</v>
      </c>
      <c r="C11" s="6" t="n">
        <v>648247.65</v>
      </c>
      <c r="D11" s="16" t="n">
        <v>237</v>
      </c>
      <c r="E11" s="16" t="n">
        <v>4478</v>
      </c>
      <c r="F11" s="16" t="n">
        <v>4446</v>
      </c>
      <c r="G11" s="16" t="n">
        <v>18696.5</v>
      </c>
      <c r="H11" s="8" t="n">
        <f aca="false">IFERROR(C11/B11,0)</f>
        <v>144.762762393926</v>
      </c>
      <c r="I11" s="9" t="n">
        <f aca="false">IFERROR(D11/E11,0)</f>
        <v>0.052925413130862</v>
      </c>
      <c r="J11" s="10" t="n">
        <f aca="false">IFERROR(G11/F11,0)</f>
        <v>4.20524066576698</v>
      </c>
      <c r="K11" s="17" t="n">
        <f aca="false">IFERROR(C11/C10-1,0)</f>
        <v>0.067250579836502</v>
      </c>
    </row>
    <row r="12" customFormat="false" ht="15" hidden="false" customHeight="false" outlineLevel="0" collapsed="false">
      <c r="A12" s="16" t="s">
        <v>50</v>
      </c>
      <c r="B12" s="6" t="n">
        <v>7289</v>
      </c>
      <c r="C12" s="6" t="n">
        <v>987765.37</v>
      </c>
      <c r="D12" s="16" t="n">
        <v>1043</v>
      </c>
      <c r="E12" s="16" t="n">
        <v>7288</v>
      </c>
      <c r="F12" s="16" t="n">
        <v>7238</v>
      </c>
      <c r="G12" s="16" t="n">
        <v>28871.5</v>
      </c>
      <c r="H12" s="8" t="n">
        <f aca="false">IFERROR(C12/B12,0)</f>
        <v>135.514524626149</v>
      </c>
      <c r="I12" s="9" t="n">
        <f aca="false">IFERROR(D12/E12,0)</f>
        <v>0.143111964873765</v>
      </c>
      <c r="J12" s="10" t="n">
        <f aca="false">IFERROR(G12/F12,0)</f>
        <v>3.98887814313346</v>
      </c>
      <c r="K12" s="17" t="n">
        <f aca="false">IFERROR(C12/C11-1,0)</f>
        <v>0.523746935295485</v>
      </c>
    </row>
    <row r="13" customFormat="false" ht="15" hidden="false" customHeight="false" outlineLevel="0" collapsed="false">
      <c r="A13" s="16" t="s">
        <v>51</v>
      </c>
      <c r="B13" s="6" t="n">
        <v>5513</v>
      </c>
      <c r="C13" s="6" t="n">
        <v>726033.19</v>
      </c>
      <c r="D13" s="16" t="n">
        <v>462</v>
      </c>
      <c r="E13" s="16" t="n">
        <v>5513</v>
      </c>
      <c r="F13" s="16" t="n">
        <v>5461</v>
      </c>
      <c r="G13" s="16" t="n">
        <v>22333</v>
      </c>
      <c r="H13" s="8" t="n">
        <f aca="false">IFERROR(C13/B13,0)</f>
        <v>131.694756031199</v>
      </c>
      <c r="I13" s="9" t="n">
        <f aca="false">IFERROR(D13/E13,0)</f>
        <v>0.0838019227280972</v>
      </c>
      <c r="J13" s="10" t="n">
        <f aca="false">IFERROR(G13/F13,0)</f>
        <v>4.0895440395532</v>
      </c>
      <c r="K13" s="17" t="n">
        <f aca="false">IFERROR(C13/C12-1,0)</f>
        <v>-0.264974039330818</v>
      </c>
    </row>
    <row r="14" customFormat="false" ht="15" hidden="false" customHeight="false" outlineLevel="0" collapsed="false">
      <c r="A14" s="16" t="s">
        <v>52</v>
      </c>
      <c r="B14" s="6" t="n">
        <v>7069</v>
      </c>
      <c r="C14" s="6" t="n">
        <v>924645</v>
      </c>
      <c r="D14" s="16" t="n">
        <v>464</v>
      </c>
      <c r="E14" s="16" t="n">
        <v>7069</v>
      </c>
      <c r="F14" s="16" t="n">
        <v>7013</v>
      </c>
      <c r="G14" s="16" t="n">
        <v>28814.5</v>
      </c>
      <c r="H14" s="8" t="n">
        <f aca="false">IFERROR(C14/B14,0)</f>
        <v>130.802800961947</v>
      </c>
      <c r="I14" s="9" t="n">
        <f aca="false">IFERROR(D14/E14,0)</f>
        <v>0.0656387042014429</v>
      </c>
      <c r="J14" s="10" t="n">
        <f aca="false">IFERROR(G14/F14,0)</f>
        <v>4.1087266505062</v>
      </c>
      <c r="K14" s="17" t="n">
        <f aca="false">IFERROR(C14/C13-1,0)</f>
        <v>0.273557480202799</v>
      </c>
    </row>
    <row r="15" customFormat="false" ht="15" hidden="false" customHeight="false" outlineLevel="0" collapsed="false">
      <c r="A15" s="16" t="s">
        <v>53</v>
      </c>
      <c r="B15" s="6" t="n">
        <v>6555</v>
      </c>
      <c r="C15" s="6" t="n">
        <v>826437.13</v>
      </c>
      <c r="D15" s="16" t="n">
        <v>1048</v>
      </c>
      <c r="E15" s="16" t="n">
        <v>6555</v>
      </c>
      <c r="F15" s="16" t="n">
        <v>6507</v>
      </c>
      <c r="G15" s="16" t="n">
        <v>25258.3333333333</v>
      </c>
      <c r="H15" s="8" t="n">
        <f aca="false">IFERROR(C15/B15,0)</f>
        <v>126.077365369947</v>
      </c>
      <c r="I15" s="9" t="n">
        <f aca="false">IFERROR(D15/E15,0)</f>
        <v>0.159877955758963</v>
      </c>
      <c r="J15" s="10" t="n">
        <f aca="false">IFERROR(G15/F15,0)</f>
        <v>3.88171712514728</v>
      </c>
      <c r="K15" s="17" t="n">
        <f aca="false">IFERROR(C15/C14-1,0)</f>
        <v>-0.106211432495715</v>
      </c>
    </row>
    <row r="16" customFormat="false" ht="15" hidden="false" customHeight="false" outlineLevel="0" collapsed="false">
      <c r="A16" s="16" t="s">
        <v>54</v>
      </c>
      <c r="B16" s="6" t="n">
        <v>7003</v>
      </c>
      <c r="C16" s="6" t="n">
        <v>953356.25</v>
      </c>
      <c r="D16" s="16" t="n">
        <v>1496</v>
      </c>
      <c r="E16" s="16" t="n">
        <v>7003</v>
      </c>
      <c r="F16" s="16" t="n">
        <v>6948</v>
      </c>
      <c r="G16" s="16" t="n">
        <v>26494.5</v>
      </c>
      <c r="H16" s="8" t="n">
        <f aca="false">IFERROR(C16/B16,0)</f>
        <v>136.135406254462</v>
      </c>
      <c r="I16" s="9" t="n">
        <f aca="false">IFERROR(D16/E16,0)</f>
        <v>0.21362273311438</v>
      </c>
      <c r="J16" s="10" t="n">
        <f aca="false">IFERROR(G16/F16,0)</f>
        <v>3.81325561312608</v>
      </c>
      <c r="K16" s="17" t="n">
        <f aca="false">IFERROR(C16/C15-1,0)</f>
        <v>0.15357383567701</v>
      </c>
    </row>
    <row r="17" customFormat="false" ht="15" hidden="false" customHeight="false" outlineLevel="0" collapsed="false">
      <c r="A17" s="16" t="s">
        <v>55</v>
      </c>
      <c r="B17" s="6" t="n">
        <v>6798</v>
      </c>
      <c r="C17" s="6" t="n">
        <v>973534.09</v>
      </c>
      <c r="D17" s="16" t="n">
        <v>361</v>
      </c>
      <c r="E17" s="16" t="n">
        <v>6798</v>
      </c>
      <c r="F17" s="16" t="n">
        <v>6752</v>
      </c>
      <c r="G17" s="16" t="n">
        <v>28400.5</v>
      </c>
      <c r="H17" s="8" t="n">
        <f aca="false">IFERROR(C17/B17,0)</f>
        <v>143.208898205355</v>
      </c>
      <c r="I17" s="9" t="n">
        <f aca="false">IFERROR(D17/E17,0)</f>
        <v>0.0531038540747279</v>
      </c>
      <c r="J17" s="10" t="n">
        <f aca="false">IFERROR(G17/F17,0)</f>
        <v>4.20623518957346</v>
      </c>
      <c r="K17" s="17" t="n">
        <f aca="false">IFERROR(C17/C16-1,0)</f>
        <v>0.0211650576581419</v>
      </c>
    </row>
    <row r="18" customFormat="false" ht="15" hidden="false" customHeight="false" outlineLevel="0" collapsed="false">
      <c r="A18" s="16" t="s">
        <v>56</v>
      </c>
      <c r="B18" s="6" t="n">
        <v>6749</v>
      </c>
      <c r="C18" s="6" t="n">
        <v>977544.69</v>
      </c>
      <c r="D18" s="16" t="n">
        <v>556</v>
      </c>
      <c r="E18" s="16" t="n">
        <v>6749</v>
      </c>
      <c r="F18" s="16" t="n">
        <v>6722</v>
      </c>
      <c r="G18" s="16" t="n">
        <v>28476</v>
      </c>
      <c r="H18" s="8" t="n">
        <f aca="false">IFERROR(C18/B18,0)</f>
        <v>144.842893762039</v>
      </c>
      <c r="I18" s="9" t="n">
        <f aca="false">IFERROR(D18/E18,0)</f>
        <v>0.0823825751963254</v>
      </c>
      <c r="J18" s="10" t="n">
        <f aca="false">IFERROR(G18/F18,0)</f>
        <v>4.23623921451949</v>
      </c>
      <c r="K18" s="17" t="n">
        <f aca="false">IFERROR(C18/C17-1,0)</f>
        <v>0.00411962975020219</v>
      </c>
    </row>
    <row r="19" customFormat="false" ht="15" hidden="false" customHeight="false" outlineLevel="0" collapsed="false">
      <c r="A19" s="16" t="s">
        <v>57</v>
      </c>
      <c r="B19" s="6" t="n">
        <v>6099</v>
      </c>
      <c r="C19" s="6" t="n">
        <v>856077.86</v>
      </c>
      <c r="D19" s="16" t="n">
        <v>83</v>
      </c>
      <c r="E19" s="16" t="n">
        <v>6096</v>
      </c>
      <c r="F19" s="16" t="n">
        <v>6075</v>
      </c>
      <c r="G19" s="16" t="n">
        <v>26165</v>
      </c>
      <c r="H19" s="8" t="n">
        <f aca="false">IFERROR(C19/B19,0)</f>
        <v>140.3636432202</v>
      </c>
      <c r="I19" s="9" t="n">
        <f aca="false">IFERROR(D19/E19,0)</f>
        <v>0.0136154855643045</v>
      </c>
      <c r="J19" s="10" t="n">
        <f aca="false">IFERROR(G19/F19,0)</f>
        <v>4.30699588477366</v>
      </c>
      <c r="K19" s="17" t="n">
        <f aca="false">IFERROR(C19/C18-1,0)</f>
        <v>-0.124257060820411</v>
      </c>
    </row>
    <row r="20" customFormat="false" ht="15" hidden="false" customHeight="false" outlineLevel="0" collapsed="false">
      <c r="A20" s="16" t="s">
        <v>58</v>
      </c>
      <c r="B20" s="6" t="n">
        <v>6159</v>
      </c>
      <c r="C20" s="6" t="n">
        <v>867953.46</v>
      </c>
      <c r="D20" s="16" t="n">
        <v>276</v>
      </c>
      <c r="E20" s="16" t="n">
        <v>6156</v>
      </c>
      <c r="F20" s="16" t="n">
        <v>6121</v>
      </c>
      <c r="G20" s="16" t="n">
        <v>26431</v>
      </c>
      <c r="H20" s="8" t="n">
        <f aca="false">IFERROR(C20/B20,0)</f>
        <v>140.924413054067</v>
      </c>
      <c r="I20" s="9" t="n">
        <f aca="false">IFERROR(D20/E20,0)</f>
        <v>0.0448343079922027</v>
      </c>
      <c r="J20" s="10" t="n">
        <f aca="false">IFERROR(G20/F20,0)</f>
        <v>4.31808528018298</v>
      </c>
      <c r="K20" s="17" t="n">
        <f aca="false">IFERROR(C20/C19-1,0)</f>
        <v>0.0138721027080411</v>
      </c>
    </row>
    <row r="21" customFormat="false" ht="15" hidden="false" customHeight="false" outlineLevel="0" collapsed="false">
      <c r="A21" s="16" t="s">
        <v>3</v>
      </c>
      <c r="B21" s="6" t="n">
        <v>6351</v>
      </c>
      <c r="C21" s="6" t="n">
        <v>838576.64</v>
      </c>
      <c r="D21" s="16" t="n">
        <v>660</v>
      </c>
      <c r="E21" s="16" t="n">
        <v>6351</v>
      </c>
      <c r="F21" s="16" t="n">
        <v>6330</v>
      </c>
      <c r="G21" s="16" t="n">
        <v>27284.5</v>
      </c>
      <c r="H21" s="8" t="n">
        <f aca="false">IFERROR(C21/B21,0)</f>
        <v>132.038519918123</v>
      </c>
      <c r="I21" s="9" t="n">
        <f aca="false">IFERROR(D21/E21,0)</f>
        <v>0.103920642418517</v>
      </c>
      <c r="J21" s="10" t="n">
        <f aca="false">IFERROR(G21/F21,0)</f>
        <v>4.31034755134281</v>
      </c>
      <c r="K21" s="17" t="n">
        <f aca="false">IFERROR(C21/C20-1,0)</f>
        <v>-0.0338460774152567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3"/>
  </cols>
  <sheetData>
    <row r="1" customFormat="false" ht="26.85" hidden="false" customHeight="false" outlineLevel="0" collapsed="false">
      <c r="A1" s="4" t="s">
        <v>59</v>
      </c>
      <c r="B1" s="4" t="s">
        <v>29</v>
      </c>
      <c r="C1" s="4" t="s">
        <v>30</v>
      </c>
      <c r="D1" s="4" t="s">
        <v>60</v>
      </c>
      <c r="E1" s="4" t="s">
        <v>61</v>
      </c>
      <c r="F1" s="4" t="s">
        <v>62</v>
      </c>
    </row>
    <row r="2" customFormat="false" ht="15" hidden="false" customHeight="false" outlineLevel="0" collapsed="false">
      <c r="A2" s="16" t="s">
        <v>63</v>
      </c>
      <c r="B2" s="6" t="n">
        <v>8647</v>
      </c>
      <c r="C2" s="6" t="n">
        <v>1237439.95</v>
      </c>
      <c r="D2" s="16" t="n">
        <v>4.19</v>
      </c>
      <c r="E2" s="9" t="n">
        <f aca="false">C2/SUM($C$2:$C$33)</f>
        <v>0.100873693273077</v>
      </c>
      <c r="F2" s="16" t="n">
        <f aca="false">RANK(C2,$C$2:$C$33)</f>
        <v>1</v>
      </c>
    </row>
    <row r="3" customFormat="false" ht="15" hidden="false" customHeight="false" outlineLevel="0" collapsed="false">
      <c r="A3" s="16" t="s">
        <v>64</v>
      </c>
      <c r="B3" s="6" t="n">
        <v>5495</v>
      </c>
      <c r="C3" s="6" t="n">
        <v>1167246.63</v>
      </c>
      <c r="D3" s="16" t="n">
        <v>4.07</v>
      </c>
      <c r="E3" s="9" t="n">
        <f aca="false">C3/SUM($C$2:$C$33)</f>
        <v>0.0951516706153318</v>
      </c>
      <c r="F3" s="16" t="n">
        <f aca="false">RANK(C3,$C$2:$C$33)</f>
        <v>2</v>
      </c>
    </row>
    <row r="4" customFormat="false" ht="15" hidden="false" customHeight="false" outlineLevel="0" collapsed="false">
      <c r="A4" s="16" t="s">
        <v>65</v>
      </c>
      <c r="B4" s="6" t="n">
        <v>9272</v>
      </c>
      <c r="C4" s="6" t="n">
        <v>1037177.69</v>
      </c>
      <c r="D4" s="16" t="n">
        <v>3.92</v>
      </c>
      <c r="E4" s="9" t="n">
        <f aca="false">C4/SUM($C$2:$C$33)</f>
        <v>0.0845487040973086</v>
      </c>
      <c r="F4" s="16" t="n">
        <f aca="false">RANK(C4,$C$2:$C$33)</f>
        <v>3</v>
      </c>
    </row>
    <row r="5" customFormat="false" ht="15" hidden="false" customHeight="false" outlineLevel="0" collapsed="false">
      <c r="A5" s="16" t="s">
        <v>66</v>
      </c>
      <c r="B5" s="6" t="n">
        <v>7530</v>
      </c>
      <c r="C5" s="6" t="n">
        <v>960189.09</v>
      </c>
      <c r="D5" s="16" t="n">
        <v>4.17</v>
      </c>
      <c r="E5" s="9" t="n">
        <f aca="false">C5/SUM($C$2:$C$33)</f>
        <v>0.0782727434562096</v>
      </c>
      <c r="F5" s="16" t="n">
        <f aca="false">RANK(C5,$C$2:$C$33)</f>
        <v>4</v>
      </c>
    </row>
    <row r="6" customFormat="false" ht="15" hidden="false" customHeight="false" outlineLevel="0" collapsed="false">
      <c r="A6" s="16" t="s">
        <v>67</v>
      </c>
      <c r="B6" s="6" t="n">
        <v>6530</v>
      </c>
      <c r="C6" s="6" t="n">
        <v>896243.28</v>
      </c>
      <c r="D6" s="16" t="n">
        <v>3.98</v>
      </c>
      <c r="E6" s="9" t="n">
        <f aca="false">C6/SUM($C$2:$C$33)</f>
        <v>0.0730600056388808</v>
      </c>
      <c r="F6" s="16" t="n">
        <f aca="false">RANK(C6,$C$2:$C$33)</f>
        <v>5</v>
      </c>
    </row>
    <row r="7" customFormat="false" ht="15" hidden="false" customHeight="false" outlineLevel="0" collapsed="false">
      <c r="A7" s="16" t="s">
        <v>68</v>
      </c>
      <c r="B7" s="6" t="n">
        <v>6307</v>
      </c>
      <c r="C7" s="6" t="n">
        <v>718344.78</v>
      </c>
      <c r="D7" s="16" t="n">
        <v>3.95</v>
      </c>
      <c r="E7" s="9" t="n">
        <f aca="false">C7/SUM($C$2:$C$33)</f>
        <v>0.0585580665971192</v>
      </c>
      <c r="F7" s="16" t="n">
        <f aca="false">RANK(C7,$C$2:$C$33)</f>
        <v>6</v>
      </c>
    </row>
    <row r="8" customFormat="false" ht="15" hidden="false" customHeight="false" outlineLevel="0" collapsed="false">
      <c r="A8" s="16" t="s">
        <v>69</v>
      </c>
      <c r="B8" s="6" t="n">
        <v>5743</v>
      </c>
      <c r="C8" s="6" t="n">
        <v>617836.73</v>
      </c>
      <c r="D8" s="16" t="n">
        <v>4.11</v>
      </c>
      <c r="E8" s="9" t="n">
        <f aca="false">C8/SUM($C$2:$C$33)</f>
        <v>0.0503648462253549</v>
      </c>
      <c r="F8" s="16" t="n">
        <f aca="false">RANK(C8,$C$2:$C$33)</f>
        <v>7</v>
      </c>
    </row>
    <row r="9" customFormat="false" ht="15" hidden="false" customHeight="false" outlineLevel="0" collapsed="false">
      <c r="A9" s="16" t="s">
        <v>70</v>
      </c>
      <c r="B9" s="6" t="n">
        <v>3559</v>
      </c>
      <c r="C9" s="6" t="n">
        <v>612071.86</v>
      </c>
      <c r="D9" s="16" t="n">
        <v>4.19</v>
      </c>
      <c r="E9" s="9" t="n">
        <f aca="false">C9/SUM($C$2:$C$33)</f>
        <v>0.0498949052571978</v>
      </c>
      <c r="F9" s="16" t="n">
        <f aca="false">RANK(C9,$C$2:$C$33)</f>
        <v>8</v>
      </c>
    </row>
    <row r="10" customFormat="false" ht="15" hidden="false" customHeight="false" outlineLevel="0" collapsed="false">
      <c r="A10" s="16" t="s">
        <v>71</v>
      </c>
      <c r="B10" s="6" t="n">
        <v>3810</v>
      </c>
      <c r="C10" s="6" t="n">
        <v>580263.44</v>
      </c>
      <c r="D10" s="16" t="n">
        <v>4.12</v>
      </c>
      <c r="E10" s="9" t="n">
        <f aca="false">C10/SUM($C$2:$C$33)</f>
        <v>0.0473019448451947</v>
      </c>
      <c r="F10" s="16" t="n">
        <f aca="false">RANK(C10,$C$2:$C$33)</f>
        <v>9</v>
      </c>
    </row>
    <row r="11" customFormat="false" ht="15" hidden="false" customHeight="false" outlineLevel="0" collapsed="false">
      <c r="A11" s="16" t="s">
        <v>72</v>
      </c>
      <c r="B11" s="6" t="n">
        <v>3804</v>
      </c>
      <c r="C11" s="6" t="n">
        <v>472109.78</v>
      </c>
      <c r="D11" s="16" t="n">
        <v>4.21</v>
      </c>
      <c r="E11" s="9" t="n">
        <f aca="false">C11/SUM($C$2:$C$33)</f>
        <v>0.0384854692455499</v>
      </c>
      <c r="F11" s="16" t="n">
        <f aca="false">RANK(C11,$C$2:$C$33)</f>
        <v>10</v>
      </c>
    </row>
    <row r="12" customFormat="false" ht="15" hidden="false" customHeight="false" outlineLevel="0" collapsed="false">
      <c r="A12" s="16" t="s">
        <v>73</v>
      </c>
      <c r="B12" s="6" t="n">
        <v>3448</v>
      </c>
      <c r="C12" s="6" t="n">
        <v>471671.27</v>
      </c>
      <c r="D12" s="16" t="n">
        <v>4.08</v>
      </c>
      <c r="E12" s="9" t="n">
        <f aca="false">C12/SUM($C$2:$C$33)</f>
        <v>0.0384497227648927</v>
      </c>
      <c r="F12" s="16" t="n">
        <f aca="false">RANK(C12,$C$2:$C$33)</f>
        <v>11</v>
      </c>
    </row>
    <row r="13" customFormat="false" ht="15" hidden="false" customHeight="false" outlineLevel="0" collapsed="false">
      <c r="A13" s="16" t="s">
        <v>74</v>
      </c>
      <c r="B13" s="6" t="n">
        <v>2809</v>
      </c>
      <c r="C13" s="6" t="n">
        <v>400774.42</v>
      </c>
      <c r="D13" s="16" t="n">
        <v>4.08</v>
      </c>
      <c r="E13" s="9" t="n">
        <f aca="false">C13/SUM($C$2:$C$33)</f>
        <v>0.0326703497125459</v>
      </c>
      <c r="F13" s="16" t="n">
        <f aca="false">RANK(C13,$C$2:$C$33)</f>
        <v>12</v>
      </c>
    </row>
    <row r="14" customFormat="false" ht="15" hidden="false" customHeight="false" outlineLevel="0" collapsed="false">
      <c r="A14" s="16" t="s">
        <v>75</v>
      </c>
      <c r="B14" s="6" t="n">
        <v>3086</v>
      </c>
      <c r="C14" s="6" t="n">
        <v>391175.73</v>
      </c>
      <c r="D14" s="16" t="n">
        <v>4.22</v>
      </c>
      <c r="E14" s="9" t="n">
        <f aca="false">C14/SUM($C$2:$C$33)</f>
        <v>0.0318878832091141</v>
      </c>
      <c r="F14" s="16" t="n">
        <f aca="false">RANK(C14,$C$2:$C$33)</f>
        <v>13</v>
      </c>
    </row>
    <row r="15" customFormat="false" ht="15" hidden="false" customHeight="false" outlineLevel="0" collapsed="false">
      <c r="A15" s="16" t="s">
        <v>76</v>
      </c>
      <c r="B15" s="6" t="n">
        <v>4093</v>
      </c>
      <c r="C15" s="6" t="n">
        <v>310004.11</v>
      </c>
      <c r="D15" s="16" t="n">
        <v>4</v>
      </c>
      <c r="E15" s="9" t="n">
        <f aca="false">C15/SUM($C$2:$C$33)</f>
        <v>0.0252709309292408</v>
      </c>
      <c r="F15" s="16" t="n">
        <f aca="false">RANK(C15,$C$2:$C$33)</f>
        <v>14</v>
      </c>
    </row>
    <row r="16" customFormat="false" ht="15" hidden="false" customHeight="false" outlineLevel="0" collapsed="false">
      <c r="A16" s="16" t="s">
        <v>77</v>
      </c>
      <c r="B16" s="6" t="n">
        <v>1254</v>
      </c>
      <c r="C16" s="6" t="n">
        <v>269418.1</v>
      </c>
      <c r="D16" s="16" t="n">
        <v>3.52</v>
      </c>
      <c r="E16" s="9" t="n">
        <f aca="false">C16/SUM($C$2:$C$33)</f>
        <v>0.0219624384856939</v>
      </c>
      <c r="F16" s="16" t="n">
        <f aca="false">RANK(C16,$C$2:$C$33)</f>
        <v>15</v>
      </c>
    </row>
    <row r="17" customFormat="false" ht="15" hidden="false" customHeight="false" outlineLevel="0" collapsed="false">
      <c r="A17" s="16" t="s">
        <v>78</v>
      </c>
      <c r="B17" s="6" t="n">
        <v>2264</v>
      </c>
      <c r="C17" s="6" t="n">
        <v>224145.67</v>
      </c>
      <c r="D17" s="16" t="n">
        <v>4.24</v>
      </c>
      <c r="E17" s="9" t="n">
        <f aca="false">C17/SUM($C$2:$C$33)</f>
        <v>0.0182719182163695</v>
      </c>
      <c r="F17" s="16" t="n">
        <f aca="false">RANK(C17,$C$2:$C$33)</f>
        <v>16</v>
      </c>
    </row>
    <row r="18" customFormat="false" ht="15" hidden="false" customHeight="false" outlineLevel="0" collapsed="false">
      <c r="A18" s="16" t="s">
        <v>79</v>
      </c>
      <c r="B18" s="6" t="n">
        <v>1688</v>
      </c>
      <c r="C18" s="6" t="n">
        <v>211971.64</v>
      </c>
      <c r="D18" s="16" t="n">
        <v>4.22</v>
      </c>
      <c r="E18" s="9" t="n">
        <f aca="false">C18/SUM($C$2:$C$33)</f>
        <v>0.0172795150148103</v>
      </c>
      <c r="F18" s="16" t="n">
        <f aca="false">RANK(C18,$C$2:$C$33)</f>
        <v>17</v>
      </c>
    </row>
    <row r="19" customFormat="false" ht="15" hidden="false" customHeight="false" outlineLevel="0" collapsed="false">
      <c r="A19" s="16" t="s">
        <v>80</v>
      </c>
      <c r="B19" s="6" t="n">
        <v>611</v>
      </c>
      <c r="C19" s="6" t="n">
        <v>184340.64</v>
      </c>
      <c r="D19" s="16" t="n">
        <v>4.22</v>
      </c>
      <c r="E19" s="9" t="n">
        <f aca="false">C19/SUM($C$2:$C$33)</f>
        <v>0.0150270897404942</v>
      </c>
      <c r="F19" s="16" t="n">
        <f aca="false">RANK(C19,$C$2:$C$33)</f>
        <v>18</v>
      </c>
    </row>
    <row r="20" customFormat="false" ht="15" hidden="false" customHeight="false" outlineLevel="0" collapsed="false">
      <c r="A20" s="16" t="s">
        <v>81</v>
      </c>
      <c r="B20" s="6" t="n">
        <v>609</v>
      </c>
      <c r="C20" s="6" t="n">
        <v>183677.02</v>
      </c>
      <c r="D20" s="16" t="n">
        <v>4.23</v>
      </c>
      <c r="E20" s="9" t="n">
        <f aca="false">C20/SUM($C$2:$C$33)</f>
        <v>0.0149729927313182</v>
      </c>
      <c r="F20" s="16" t="n">
        <f aca="false">RANK(C20,$C$2:$C$33)</f>
        <v>19</v>
      </c>
    </row>
    <row r="21" customFormat="false" ht="15" hidden="false" customHeight="false" outlineLevel="0" collapsed="false">
      <c r="A21" s="16" t="s">
        <v>82</v>
      </c>
      <c r="B21" s="6" t="n">
        <v>1392</v>
      </c>
      <c r="C21" s="6" t="n">
        <v>171438.59</v>
      </c>
      <c r="D21" s="16" t="n">
        <v>3.94</v>
      </c>
      <c r="E21" s="9" t="n">
        <f aca="false">C21/SUM($C$2:$C$33)</f>
        <v>0.013975339767258</v>
      </c>
      <c r="F21" s="16" t="n">
        <f aca="false">RANK(C21,$C$2:$C$33)</f>
        <v>20</v>
      </c>
    </row>
    <row r="22" customFormat="false" ht="15" hidden="false" customHeight="false" outlineLevel="0" collapsed="false">
      <c r="A22" s="16" t="s">
        <v>83</v>
      </c>
      <c r="B22" s="6" t="n">
        <v>2517</v>
      </c>
      <c r="C22" s="6" t="n">
        <v>155173.83</v>
      </c>
      <c r="D22" s="16" t="n">
        <v>4.07</v>
      </c>
      <c r="E22" s="9" t="n">
        <f aca="false">C22/SUM($C$2:$C$33)</f>
        <v>0.0126494682278753</v>
      </c>
      <c r="F22" s="16" t="n">
        <f aca="false">RANK(C22,$C$2:$C$33)</f>
        <v>21</v>
      </c>
    </row>
    <row r="23" customFormat="false" ht="15" hidden="false" customHeight="false" outlineLevel="0" collapsed="false">
      <c r="A23" s="16" t="s">
        <v>84</v>
      </c>
      <c r="B23" s="6" t="n">
        <v>1820</v>
      </c>
      <c r="C23" s="6" t="n">
        <v>150162.75</v>
      </c>
      <c r="D23" s="16" t="n">
        <v>4.19</v>
      </c>
      <c r="E23" s="9" t="n">
        <f aca="false">C23/SUM($C$2:$C$33)</f>
        <v>0.0122409747515762</v>
      </c>
      <c r="F23" s="16" t="n">
        <f aca="false">RANK(C23,$C$2:$C$33)</f>
        <v>22</v>
      </c>
    </row>
    <row r="24" customFormat="false" ht="15" hidden="false" customHeight="false" outlineLevel="0" collapsed="false">
      <c r="A24" s="16" t="s">
        <v>85</v>
      </c>
      <c r="B24" s="6" t="n">
        <v>1018</v>
      </c>
      <c r="C24" s="6" t="n">
        <v>148538.37</v>
      </c>
      <c r="D24" s="16" t="n">
        <v>4.14</v>
      </c>
      <c r="E24" s="9" t="n">
        <f aca="false">C24/SUM($C$2:$C$33)</f>
        <v>0.0121085584594734</v>
      </c>
      <c r="F24" s="16" t="n">
        <f aca="false">RANK(C24,$C$2:$C$33)</f>
        <v>23</v>
      </c>
    </row>
    <row r="25" customFormat="false" ht="15" hidden="false" customHeight="false" outlineLevel="0" collapsed="false">
      <c r="A25" s="16" t="s">
        <v>86</v>
      </c>
      <c r="B25" s="6" t="n">
        <v>736</v>
      </c>
      <c r="C25" s="6" t="n">
        <v>142940.29</v>
      </c>
      <c r="D25" s="16" t="n">
        <v>4.09</v>
      </c>
      <c r="E25" s="9" t="n">
        <f aca="false">C25/SUM($C$2:$C$33)</f>
        <v>0.0116522138870857</v>
      </c>
      <c r="F25" s="16" t="n">
        <f aca="false">RANK(C25,$C$2:$C$33)</f>
        <v>24</v>
      </c>
    </row>
    <row r="26" customFormat="false" ht="15" hidden="false" customHeight="false" outlineLevel="0" collapsed="false">
      <c r="A26" s="16" t="s">
        <v>87</v>
      </c>
      <c r="B26" s="6" t="n">
        <v>1019</v>
      </c>
      <c r="C26" s="6" t="n">
        <v>138701.63</v>
      </c>
      <c r="D26" s="16" t="n">
        <v>4.35</v>
      </c>
      <c r="E26" s="9" t="n">
        <f aca="false">C26/SUM($C$2:$C$33)</f>
        <v>0.0113066865839395</v>
      </c>
      <c r="F26" s="16" t="n">
        <f aca="false">RANK(C26,$C$2:$C$33)</f>
        <v>25</v>
      </c>
    </row>
    <row r="27" customFormat="false" ht="15" hidden="false" customHeight="false" outlineLevel="0" collapsed="false">
      <c r="A27" s="16" t="s">
        <v>88</v>
      </c>
      <c r="B27" s="6" t="n">
        <v>747</v>
      </c>
      <c r="C27" s="6" t="n">
        <v>81856.55</v>
      </c>
      <c r="D27" s="16" t="n">
        <v>4.23</v>
      </c>
      <c r="E27" s="9" t="n">
        <f aca="false">C27/SUM($C$2:$C$33)</f>
        <v>0.00667278643872156</v>
      </c>
      <c r="F27" s="16" t="n">
        <f aca="false">RANK(C27,$C$2:$C$33)</f>
        <v>26</v>
      </c>
    </row>
    <row r="28" customFormat="false" ht="15" hidden="false" customHeight="false" outlineLevel="0" collapsed="false">
      <c r="A28" s="16" t="s">
        <v>89</v>
      </c>
      <c r="B28" s="6" t="n">
        <v>483</v>
      </c>
      <c r="C28" s="6" t="n">
        <v>81527.42</v>
      </c>
      <c r="D28" s="16" t="n">
        <v>3.96</v>
      </c>
      <c r="E28" s="9" t="n">
        <f aca="false">C28/SUM($C$2:$C$33)</f>
        <v>0.00664595640251094</v>
      </c>
      <c r="F28" s="16" t="n">
        <f aca="false">RANK(C28,$C$2:$C$33)</f>
        <v>27</v>
      </c>
    </row>
    <row r="29" customFormat="false" ht="15" hidden="false" customHeight="false" outlineLevel="0" collapsed="false">
      <c r="A29" s="16" t="s">
        <v>90</v>
      </c>
      <c r="B29" s="6" t="n">
        <v>414</v>
      </c>
      <c r="C29" s="6" t="n">
        <v>67861.4</v>
      </c>
      <c r="D29" s="16" t="n">
        <v>3.94</v>
      </c>
      <c r="E29" s="9" t="n">
        <f aca="false">C29/SUM($C$2:$C$33)</f>
        <v>0.00553192908365499</v>
      </c>
      <c r="F29" s="16" t="n">
        <f aca="false">RANK(C29,$C$2:$C$33)</f>
        <v>28</v>
      </c>
    </row>
    <row r="30" customFormat="false" ht="15" hidden="false" customHeight="false" outlineLevel="0" collapsed="false">
      <c r="A30" s="16" t="s">
        <v>91</v>
      </c>
      <c r="B30" s="6" t="n">
        <v>392</v>
      </c>
      <c r="C30" s="6" t="n">
        <v>58265.15</v>
      </c>
      <c r="D30" s="16" t="n">
        <v>3.85</v>
      </c>
      <c r="E30" s="9" t="n">
        <f aca="false">C30/SUM($C$2:$C$33)</f>
        <v>0.00474966148426824</v>
      </c>
      <c r="F30" s="16" t="n">
        <f aca="false">RANK(C30,$C$2:$C$33)</f>
        <v>29</v>
      </c>
    </row>
    <row r="31" customFormat="false" ht="15" hidden="false" customHeight="false" outlineLevel="0" collapsed="false">
      <c r="A31" s="16" t="s">
        <v>92</v>
      </c>
      <c r="B31" s="6" t="n">
        <v>348</v>
      </c>
      <c r="C31" s="6" t="n">
        <v>50620.5</v>
      </c>
      <c r="D31" s="16" t="n">
        <v>3.83</v>
      </c>
      <c r="E31" s="9" t="n">
        <f aca="false">C31/SUM($C$2:$C$33)</f>
        <v>0.00412648451371704</v>
      </c>
      <c r="F31" s="16" t="n">
        <f aca="false">RANK(C31,$C$2:$C$33)</f>
        <v>30</v>
      </c>
    </row>
    <row r="32" customFormat="false" ht="15" hidden="false" customHeight="false" outlineLevel="0" collapsed="false">
      <c r="A32" s="16" t="s">
        <v>93</v>
      </c>
      <c r="B32" s="6" t="n">
        <v>496</v>
      </c>
      <c r="C32" s="6" t="n">
        <v>45302.15</v>
      </c>
      <c r="D32" s="16" t="n">
        <v>4.51</v>
      </c>
      <c r="E32" s="9" t="n">
        <f aca="false">C32/SUM($C$2:$C$33)</f>
        <v>0.00369294298580785</v>
      </c>
      <c r="F32" s="16" t="n">
        <f aca="false">RANK(C32,$C$2:$C$33)</f>
        <v>31</v>
      </c>
    </row>
    <row r="33" customFormat="false" ht="15" hidden="false" customHeight="false" outlineLevel="0" collapsed="false">
      <c r="A33" s="16" t="s">
        <v>94</v>
      </c>
      <c r="B33" s="6" t="n">
        <v>441</v>
      </c>
      <c r="C33" s="6" t="n">
        <v>28731.15</v>
      </c>
      <c r="D33" s="16" t="n">
        <v>4.26</v>
      </c>
      <c r="E33" s="9" t="n">
        <f aca="false">C33/SUM($C$2:$C$33)</f>
        <v>0.00234210735840779</v>
      </c>
      <c r="F33" s="16" t="n">
        <f aca="false">RANK(C33,$C$2:$C$33)</f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13"/>
    <col collapsed="false" customWidth="true" hidden="false" outlineLevel="0" max="4" min="4" style="0" width="18"/>
  </cols>
  <sheetData>
    <row r="1" customFormat="false" ht="26.85" hidden="false" customHeight="false" outlineLevel="0" collapsed="false">
      <c r="A1" s="4" t="s">
        <v>95</v>
      </c>
      <c r="B1" s="4" t="s">
        <v>96</v>
      </c>
      <c r="C1" s="4" t="s">
        <v>97</v>
      </c>
      <c r="D1" s="4" t="s">
        <v>98</v>
      </c>
    </row>
    <row r="2" customFormat="false" ht="15" hidden="false" customHeight="false" outlineLevel="0" collapsed="false">
      <c r="A2" s="16" t="s">
        <v>99</v>
      </c>
      <c r="B2" s="16" t="n">
        <v>3764</v>
      </c>
      <c r="C2" s="16" t="n">
        <v>3764</v>
      </c>
      <c r="D2" s="18" t="n">
        <f aca="false">B2/SUM($B$2:$B$8)</f>
        <v>0.336221527467619</v>
      </c>
    </row>
    <row r="3" customFormat="false" ht="15" hidden="false" customHeight="false" outlineLevel="0" collapsed="false">
      <c r="A3" s="16" t="s">
        <v>100</v>
      </c>
      <c r="B3" s="16" t="n">
        <v>1796</v>
      </c>
      <c r="C3" s="16" t="n">
        <v>1796</v>
      </c>
      <c r="D3" s="18" t="n">
        <f aca="false">B3/SUM($B$2:$B$8)</f>
        <v>0.160428762840554</v>
      </c>
    </row>
    <row r="4" customFormat="false" ht="15" hidden="false" customHeight="false" outlineLevel="0" collapsed="false">
      <c r="A4" s="16" t="s">
        <v>101</v>
      </c>
      <c r="B4" s="16" t="n">
        <v>1578</v>
      </c>
      <c r="C4" s="16" t="n">
        <v>22</v>
      </c>
      <c r="D4" s="18" t="n">
        <f aca="false">B4/SUM($B$2:$B$8)</f>
        <v>0.140955783832068</v>
      </c>
    </row>
    <row r="5" customFormat="false" ht="15" hidden="false" customHeight="false" outlineLevel="0" collapsed="false">
      <c r="A5" s="16" t="s">
        <v>102</v>
      </c>
      <c r="B5" s="16" t="n">
        <v>1516</v>
      </c>
      <c r="C5" s="16" t="n">
        <v>215</v>
      </c>
      <c r="D5" s="18" t="n">
        <f aca="false">B5/SUM($B$2:$B$8)</f>
        <v>0.135417597141581</v>
      </c>
    </row>
    <row r="6" customFormat="false" ht="15" hidden="false" customHeight="false" outlineLevel="0" collapsed="false">
      <c r="A6" s="16" t="s">
        <v>103</v>
      </c>
      <c r="B6" s="16" t="n">
        <v>999</v>
      </c>
      <c r="C6" s="16" t="n">
        <v>59</v>
      </c>
      <c r="D6" s="18" t="n">
        <f aca="false">B6/SUM($B$2:$B$8)</f>
        <v>0.0892362661902635</v>
      </c>
    </row>
    <row r="7" customFormat="false" ht="15" hidden="false" customHeight="false" outlineLevel="0" collapsed="false">
      <c r="A7" s="16" t="s">
        <v>104</v>
      </c>
      <c r="B7" s="16" t="n">
        <v>895</v>
      </c>
      <c r="C7" s="16" t="n">
        <v>0</v>
      </c>
      <c r="D7" s="18" t="n">
        <f aca="false">B7/SUM($B$2:$B$8)</f>
        <v>0.0799464046449308</v>
      </c>
    </row>
    <row r="8" customFormat="false" ht="15" hidden="false" customHeight="false" outlineLevel="0" collapsed="false">
      <c r="A8" s="16" t="s">
        <v>105</v>
      </c>
      <c r="B8" s="16" t="n">
        <v>647</v>
      </c>
      <c r="C8" s="16" t="n">
        <v>26</v>
      </c>
      <c r="D8" s="18" t="n">
        <f aca="false">B8/SUM($B$2:$B$8)</f>
        <v>0.0577936578829835</v>
      </c>
    </row>
    <row r="10" customFormat="false" ht="15" hidden="false" customHeight="false" outlineLevel="0" collapsed="false">
      <c r="A10" s="19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2026-10-02T11:58:47Z</dcterms:created>
  <dc:creator>openpyxl</dc:creator>
  <dc:description/>
  <dc:language>en-US</dc:language>
  <cp:lastModifiedBy/>
  <dcterms:modified xsi:type="dcterms:W3CDTF">2026-10-02T12:58:50Z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