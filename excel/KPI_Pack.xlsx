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Exec Summary" sheetId="2" state="visible" r:id="rId2"/>
    <sheet name="Monthly" sheetId="3" state="visible" r:id="rId3"/>
    <sheet name="Categories" sheetId="4" state="visible" r:id="rId4"/>
    <sheet name="Complai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%;(0.0%);-"/>
    <numFmt numFmtId="166" formatCode="+0.0%;-0.0%;-"/>
    <numFmt numFmtId="167" formatCode="+0.00;-0.00;-"/>
  </numFmts>
  <fonts count="11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</font>
    <font>
      <name val="Arial"/>
      <b val="1"/>
      <color rgb="001F3864"/>
      <sz val="16"/>
    </font>
    <font>
      <name val="Arial"/>
      <i val="1"/>
      <color rgb="00808080"/>
    </font>
    <font>
      <name val="Arial"/>
      <b val="1"/>
      <color rgb="000000FF"/>
    </font>
    <font>
      <name val="Arial"/>
      <b val="1"/>
    </font>
    <font>
      <name val="Arial"/>
      <i val="1"/>
      <color rgb="00808080"/>
      <sz val="9"/>
    </font>
    <font>
      <name val="Arial"/>
      <color rgb="00000000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2" fillId="0" borderId="1" pivotButton="0" quotePrefix="0" xfId="0"/>
    <xf numFmtId="166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167" fontId="2" fillId="0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7" fillId="0" borderId="0" pivotButton="0" quotePrefix="0" xfId="0"/>
    <xf numFmtId="0" fontId="2" fillId="0" borderId="1" pivotButton="0" quotePrefix="0" xfId="0"/>
    <xf numFmtId="165" fontId="2" fillId="0" borderId="1" pivotButton="0" quotePrefix="0" xfId="0"/>
    <xf numFmtId="16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(BRL)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'Monthly'!$A$2:$A$21</f>
            </numRef>
          </cat>
          <val>
            <numRef>
              <f>'Monthly'!$C$2:$C$21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Complaint topics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'Complaints'!B1</f>
            </strRef>
          </tx>
          <spPr>
            <a:ln>
              <a:prstDash val="solid"/>
            </a:ln>
          </spPr>
          <cat>
            <numRef>
              <f>'Complaints'!$A$2:$A$8</f>
            </numRef>
          </cat>
          <val>
            <numRef>
              <f>'Complaints'!$B$2:$B$8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KPI Pack</author>
  </authors>
  <commentList>
    <comment ref="B4" authorId="0" shapeId="0">
      <text>
        <t>Input: pick any month from the list (yellow = editable).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2" customWidth="1" min="5" max="5"/>
    <col width="16" customWidth="1" min="6" max="6"/>
  </cols>
  <sheetData>
    <row r="1">
      <c r="A1" s="1" t="inlineStr">
        <is>
          <t>E-commerce KPI Pack</t>
        </is>
      </c>
    </row>
    <row r="2">
      <c r="A2" s="2" t="inlineStr">
        <is>
          <t>Olist marketplace · delivered orders · values in BRL</t>
        </is>
      </c>
    </row>
    <row r="4">
      <c r="A4" t="inlineStr">
        <is>
          <t>Select month:</t>
        </is>
      </c>
      <c r="B4" s="3" t="inlineStr">
        <is>
          <t>2018-08</t>
        </is>
      </c>
    </row>
    <row r="6">
      <c r="B6" s="4" t="inlineStr">
        <is>
          <t>KPI</t>
        </is>
      </c>
      <c r="C6" s="4" t="inlineStr">
        <is>
          <t>Selected month</t>
        </is>
      </c>
      <c r="D6" s="4" t="inlineStr">
        <is>
          <t>Previous month</t>
        </is>
      </c>
      <c r="E6" s="4" t="inlineStr">
        <is>
          <t>Change</t>
        </is>
      </c>
      <c r="F6" s="4" t="inlineStr">
        <is>
          <t>All months</t>
        </is>
      </c>
    </row>
    <row r="7">
      <c r="B7" s="5" t="inlineStr">
        <is>
          <t>Orders</t>
        </is>
      </c>
      <c r="C7" s="6">
        <f>INDEX(Monthly!$B$2:$B$21,MATCH($B$4,Monthly!$A$2:$A$21,0))</f>
        <v/>
      </c>
      <c r="D7" s="6">
        <f>IFERROR(INDEX(Monthly!$B$2:$B$21,MATCH($B$4,Monthly!$A$2:$A$21,0)-1),0)</f>
        <v/>
      </c>
      <c r="E7" s="7">
        <f>IFERROR(C7/D7-1,0)</f>
        <v/>
      </c>
      <c r="F7" s="6">
        <f>SUM(Monthly!$B$2:$B$21)</f>
        <v/>
      </c>
    </row>
    <row r="8">
      <c r="B8" s="5" t="inlineStr">
        <is>
          <t>Revenue (BRL)</t>
        </is>
      </c>
      <c r="C8" s="6">
        <f>INDEX(Monthly!$C$2:$C$21,MATCH($B$4,Monthly!$A$2:$A$21,0))</f>
        <v/>
      </c>
      <c r="D8" s="6">
        <f>IFERROR(INDEX(Monthly!$C$2:$C$21,MATCH($B$4,Monthly!$A$2:$A$21,0)-1),0)</f>
        <v/>
      </c>
      <c r="E8" s="7">
        <f>IFERROR(C8/D8-1,0)</f>
        <v/>
      </c>
      <c r="F8" s="6">
        <f>SUM(Monthly!$C$2:$C$21)</f>
        <v/>
      </c>
    </row>
    <row r="9">
      <c r="B9" s="5" t="inlineStr">
        <is>
          <t>Avg order value (BRL)</t>
        </is>
      </c>
      <c r="C9" s="8">
        <f>IFERROR(C8/C7,0)</f>
        <v/>
      </c>
      <c r="D9" s="8">
        <f>IFERROR(D8/D7,0)</f>
        <v/>
      </c>
      <c r="E9" s="7">
        <f>IFERROR(C9/D9-1,0)</f>
        <v/>
      </c>
      <c r="F9" s="8">
        <f>IFERROR(F8/F7,0)</f>
        <v/>
      </c>
    </row>
    <row r="10">
      <c r="B10" s="5" t="inlineStr">
        <is>
          <t>Late delivery %</t>
        </is>
      </c>
      <c r="C10" s="9">
        <f>IFERROR(INDEX(Monthly!$D$2:$D$21,MATCH($B$4,Monthly!$A$2:$A$21,0))/INDEX(Monthly!$E$2:$E$21,MATCH($B$4,Monthly!$A$2:$A$21,0)),0)</f>
        <v/>
      </c>
      <c r="D10" s="9">
        <f>IFERROR(INDEX(Monthly!$D$2:$D$21,MATCH($B$4,Monthly!$A$2:$A$21,0)-1)/INDEX(Monthly!$E$2:$E$21,MATCH($B$4,Monthly!$A$2:$A$21,0)-1),0)</f>
        <v/>
      </c>
      <c r="E10" s="7">
        <f>C10-D10</f>
        <v/>
      </c>
      <c r="F10" s="9">
        <f>SUM(Monthly!$D$2:$D$21)/SUM(Monthly!$E$2:$E$21)</f>
        <v/>
      </c>
    </row>
    <row r="11">
      <c r="B11" s="5" t="inlineStr">
        <is>
          <t>Avg review score</t>
        </is>
      </c>
      <c r="C11" s="10">
        <f>IFERROR(INDEX(Monthly!$G$2:$G$21,MATCH($B$4,Monthly!$A$2:$A$21,0))/INDEX(Monthly!$F$2:$F$21,MATCH($B$4,Monthly!$A$2:$A$21,0)),0)</f>
        <v/>
      </c>
      <c r="D11" s="10">
        <f>IFERROR(INDEX(Monthly!$G$2:$G$21,MATCH($B$4,Monthly!$A$2:$A$21,0)-1)/INDEX(Monthly!$F$2:$F$21,MATCH($B$4,Monthly!$A$2:$A$21,0)-1),0)</f>
        <v/>
      </c>
      <c r="E11" s="11">
        <f>C11-D11</f>
        <v/>
      </c>
      <c r="F11" s="10">
        <f>SUM(Monthly!$G$2:$G$21)/SUM(Monthly!$F$2:$F$21)</f>
        <v/>
      </c>
    </row>
    <row r="13">
      <c r="B13" s="12" t="inlineStr">
        <is>
          <t>Note: the first month has no previous month, so its comparison columns show 0.</t>
        </is>
      </c>
    </row>
  </sheetData>
  <dataValidations count="1">
    <dataValidation sqref="B4" showDropDown="0" showInputMessage="0" showErrorMessage="0" allowBlank="0" type="list">
      <formula1>=Monthly!$A$2:$A$21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14" customWidth="1" min="3" max="3"/>
  </cols>
  <sheetData>
    <row r="1">
      <c r="A1" s="1" t="inlineStr">
        <is>
          <t>Executive summary</t>
        </is>
      </c>
    </row>
    <row r="2">
      <c r="A2" s="2" t="inlineStr">
        <is>
          <t>Workflow: AI writes a first draft from the numbers -&gt; analyst checks every figure against 'KPI Summary' and edits the yellow column -&gt; only the analyst column is sent.</t>
        </is>
      </c>
    </row>
    <row r="4">
      <c r="A4" s="4" t="inlineStr">
        <is>
          <t>AI draft (ollama)</t>
        </is>
      </c>
      <c r="B4" s="4" t="inlineStr">
        <is>
          <t>Analyst final (edit me)</t>
        </is>
      </c>
      <c r="C4" s="4" t="inlineStr">
        <is>
          <t>Checked? (Y/N)</t>
        </is>
      </c>
    </row>
    <row r="5">
      <c r="A5" s="13" t="inlineStr">
        <is>
          <t>Top complaint: Wrong or missing item (220 negative reviews)</t>
        </is>
      </c>
      <c r="B5" s="14" t="inlineStr">
        <is>
          <t>Top complaint: Wrong or missing item (220 negative reviews)</t>
        </is>
      </c>
      <c r="C5" s="14" t="inlineStr">
        <is>
          <t>N</t>
        </is>
      </c>
    </row>
    <row r="7">
      <c r="A7" s="15" t="inlineStr">
        <is>
          <t>Bullets checked:</t>
        </is>
      </c>
      <c r="B7" s="15">
        <f>COUNTIF(C5:C5,"Y")&amp;" of 1"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1" customWidth="1" min="4" max="4"/>
    <col width="14" customWidth="1" min="5" max="5"/>
    <col width="9" customWidth="1" min="6" max="6"/>
    <col width="13" customWidth="1" min="7" max="7"/>
    <col width="12" customWidth="1" min="8" max="8"/>
    <col width="9" customWidth="1" min="9" max="9"/>
    <col width="10" customWidth="1" min="10" max="10"/>
    <col width="13" customWidth="1" min="11" max="11"/>
  </cols>
  <sheetData>
    <row r="1">
      <c r="A1" s="4" t="inlineStr">
        <is>
          <t>month</t>
        </is>
      </c>
      <c r="B1" s="4" t="inlineStr">
        <is>
          <t>orders</t>
        </is>
      </c>
      <c r="C1" s="4" t="inlineStr">
        <is>
          <t>revenue</t>
        </is>
      </c>
      <c r="D1" s="4" t="inlineStr">
        <is>
          <t>late_orders</t>
        </is>
      </c>
      <c r="E1" s="4" t="inlineStr">
        <is>
          <t>orders_with_delivery_date</t>
        </is>
      </c>
      <c r="F1" s="4" t="inlineStr">
        <is>
          <t>reviews</t>
        </is>
      </c>
      <c r="G1" s="4" t="inlineStr">
        <is>
          <t>review_points</t>
        </is>
      </c>
      <c r="H1" s="4" t="inlineStr">
        <is>
          <t>AOV (BRL)</t>
        </is>
      </c>
      <c r="I1" s="4" t="inlineStr">
        <is>
          <t>Late %</t>
        </is>
      </c>
      <c r="J1" s="4" t="inlineStr">
        <is>
          <t>Avg score</t>
        </is>
      </c>
      <c r="K1" s="4" t="inlineStr">
        <is>
          <t>Revenue MoM %</t>
        </is>
      </c>
    </row>
    <row r="2">
      <c r="A2" s="16" t="inlineStr">
        <is>
          <t>2017-01</t>
        </is>
      </c>
      <c r="B2" s="6" t="n">
        <v>750</v>
      </c>
      <c r="C2" s="6" t="n">
        <v>111798.36</v>
      </c>
      <c r="D2" s="16" t="n">
        <v>23</v>
      </c>
      <c r="E2" s="16" t="n">
        <v>750</v>
      </c>
      <c r="F2" s="16" t="n">
        <v>741</v>
      </c>
      <c r="G2" s="16" t="n">
        <v>3111.5</v>
      </c>
      <c r="H2" s="8">
        <f>IFERROR(C2/B2,0)</f>
        <v/>
      </c>
      <c r="I2" s="9">
        <f>IFERROR(D2/E2,0)</f>
        <v/>
      </c>
      <c r="J2" s="10">
        <f>IFERROR(G2/F2,0)</f>
        <v/>
      </c>
      <c r="K2" s="17" t="inlineStr">
        <is>
          <t>-</t>
        </is>
      </c>
    </row>
    <row r="3">
      <c r="A3" s="16" t="inlineStr">
        <is>
          <t>2017-02</t>
        </is>
      </c>
      <c r="B3" s="6" t="n">
        <v>1653</v>
      </c>
      <c r="C3" s="6" t="n">
        <v>234223.4</v>
      </c>
      <c r="D3" s="16" t="n">
        <v>53</v>
      </c>
      <c r="E3" s="16" t="n">
        <v>1653</v>
      </c>
      <c r="F3" s="16" t="n">
        <v>1643</v>
      </c>
      <c r="G3" s="16" t="n">
        <v>6905</v>
      </c>
      <c r="H3" s="8">
        <f>IFERROR(C3/B3,0)</f>
        <v/>
      </c>
      <c r="I3" s="9">
        <f>IFERROR(D3/E3,0)</f>
        <v/>
      </c>
      <c r="J3" s="10">
        <f>IFERROR(G3/F3,0)</f>
        <v/>
      </c>
      <c r="K3" s="17">
        <f>IFERROR(C3/C2-1,0)</f>
        <v/>
      </c>
    </row>
    <row r="4">
      <c r="A4" s="16" t="inlineStr">
        <is>
          <t>2017-03</t>
        </is>
      </c>
      <c r="B4" s="6" t="n">
        <v>2546</v>
      </c>
      <c r="C4" s="6" t="n">
        <v>359198.85</v>
      </c>
      <c r="D4" s="16" t="n">
        <v>142</v>
      </c>
      <c r="E4" s="16" t="n">
        <v>2546</v>
      </c>
      <c r="F4" s="16" t="n">
        <v>2527</v>
      </c>
      <c r="G4" s="16" t="n">
        <v>10581.5</v>
      </c>
      <c r="H4" s="8">
        <f>IFERROR(C4/B4,0)</f>
        <v/>
      </c>
      <c r="I4" s="9">
        <f>IFERROR(D4/E4,0)</f>
        <v/>
      </c>
      <c r="J4" s="10">
        <f>IFERROR(G4/F4,0)</f>
        <v/>
      </c>
      <c r="K4" s="17">
        <f>IFERROR(C4/C3-1,0)</f>
        <v/>
      </c>
    </row>
    <row r="5">
      <c r="A5" s="16" t="inlineStr">
        <is>
          <t>2017-04</t>
        </is>
      </c>
      <c r="B5" s="6" t="n">
        <v>2303</v>
      </c>
      <c r="C5" s="6" t="n">
        <v>340669.68</v>
      </c>
      <c r="D5" s="16" t="n">
        <v>181</v>
      </c>
      <c r="E5" s="16" t="n">
        <v>2303</v>
      </c>
      <c r="F5" s="16" t="n">
        <v>2290</v>
      </c>
      <c r="G5" s="16" t="n">
        <v>9475</v>
      </c>
      <c r="H5" s="8">
        <f>IFERROR(C5/B5,0)</f>
        <v/>
      </c>
      <c r="I5" s="9">
        <f>IFERROR(D5/E5,0)</f>
        <v/>
      </c>
      <c r="J5" s="10">
        <f>IFERROR(G5/F5,0)</f>
        <v/>
      </c>
      <c r="K5" s="17">
        <f>IFERROR(C5/C4-1,0)</f>
        <v/>
      </c>
    </row>
    <row r="6">
      <c r="A6" s="16" t="inlineStr">
        <is>
          <t>2017-05</t>
        </is>
      </c>
      <c r="B6" s="6" t="n">
        <v>3546</v>
      </c>
      <c r="C6" s="6" t="n">
        <v>489338.25</v>
      </c>
      <c r="D6" s="16" t="n">
        <v>128</v>
      </c>
      <c r="E6" s="16" t="n">
        <v>3545</v>
      </c>
      <c r="F6" s="16" t="n">
        <v>3518</v>
      </c>
      <c r="G6" s="16" t="n">
        <v>14911</v>
      </c>
      <c r="H6" s="8">
        <f>IFERROR(C6/B6,0)</f>
        <v/>
      </c>
      <c r="I6" s="9">
        <f>IFERROR(D6/E6,0)</f>
        <v/>
      </c>
      <c r="J6" s="10">
        <f>IFERROR(G6/F6,0)</f>
        <v/>
      </c>
      <c r="K6" s="17">
        <f>IFERROR(C6/C5-1,0)</f>
        <v/>
      </c>
    </row>
    <row r="7">
      <c r="A7" s="16" t="inlineStr">
        <is>
          <t>2017-06</t>
        </is>
      </c>
      <c r="B7" s="6" t="n">
        <v>3135</v>
      </c>
      <c r="C7" s="6" t="n">
        <v>421923.37</v>
      </c>
      <c r="D7" s="16" t="n">
        <v>121</v>
      </c>
      <c r="E7" s="16" t="n">
        <v>3135</v>
      </c>
      <c r="F7" s="16" t="n">
        <v>3111</v>
      </c>
      <c r="G7" s="16" t="n">
        <v>13137.5</v>
      </c>
      <c r="H7" s="8">
        <f>IFERROR(C7/B7,0)</f>
        <v/>
      </c>
      <c r="I7" s="9">
        <f>IFERROR(D7/E7,0)</f>
        <v/>
      </c>
      <c r="J7" s="10">
        <f>IFERROR(G7/F7,0)</f>
        <v/>
      </c>
      <c r="K7" s="17">
        <f>IFERROR(C7/C6-1,0)</f>
        <v/>
      </c>
    </row>
    <row r="8">
      <c r="A8" s="16" t="inlineStr">
        <is>
          <t>2017-07</t>
        </is>
      </c>
      <c r="B8" s="6" t="n">
        <v>3872</v>
      </c>
      <c r="C8" s="6" t="n">
        <v>481604.52</v>
      </c>
      <c r="D8" s="16" t="n">
        <v>133</v>
      </c>
      <c r="E8" s="16" t="n">
        <v>3872</v>
      </c>
      <c r="F8" s="16" t="n">
        <v>3842</v>
      </c>
      <c r="G8" s="16" t="n">
        <v>16360.83333333333</v>
      </c>
      <c r="H8" s="8">
        <f>IFERROR(C8/B8,0)</f>
        <v/>
      </c>
      <c r="I8" s="9">
        <f>IFERROR(D8/E8,0)</f>
        <v/>
      </c>
      <c r="J8" s="10">
        <f>IFERROR(G8/F8,0)</f>
        <v/>
      </c>
      <c r="K8" s="17">
        <f>IFERROR(C8/C7-1,0)</f>
        <v/>
      </c>
    </row>
    <row r="9">
      <c r="A9" s="16" t="inlineStr">
        <is>
          <t>2017-08</t>
        </is>
      </c>
      <c r="B9" s="6" t="n">
        <v>4193</v>
      </c>
      <c r="C9" s="6" t="n">
        <v>554699.7</v>
      </c>
      <c r="D9" s="16" t="n">
        <v>139</v>
      </c>
      <c r="E9" s="16" t="n">
        <v>4193</v>
      </c>
      <c r="F9" s="16" t="n">
        <v>4165</v>
      </c>
      <c r="G9" s="16" t="n">
        <v>17957.5</v>
      </c>
      <c r="H9" s="8">
        <f>IFERROR(C9/B9,0)</f>
        <v/>
      </c>
      <c r="I9" s="9">
        <f>IFERROR(D9/E9,0)</f>
        <v/>
      </c>
      <c r="J9" s="10">
        <f>IFERROR(G9/F9,0)</f>
        <v/>
      </c>
      <c r="K9" s="17">
        <f>IFERROR(C9/C8-1,0)</f>
        <v/>
      </c>
    </row>
    <row r="10">
      <c r="A10" s="16" t="inlineStr">
        <is>
          <t>2017-09</t>
        </is>
      </c>
      <c r="B10" s="6" t="n">
        <v>4150</v>
      </c>
      <c r="C10" s="6" t="n">
        <v>607399.67</v>
      </c>
      <c r="D10" s="16" t="n">
        <v>216</v>
      </c>
      <c r="E10" s="16" t="n">
        <v>4150</v>
      </c>
      <c r="F10" s="16" t="n">
        <v>4118</v>
      </c>
      <c r="G10" s="16" t="n">
        <v>17573.5</v>
      </c>
      <c r="H10" s="8">
        <f>IFERROR(C10/B10,0)</f>
        <v/>
      </c>
      <c r="I10" s="9">
        <f>IFERROR(D10/E10,0)</f>
        <v/>
      </c>
      <c r="J10" s="10">
        <f>IFERROR(G10/F10,0)</f>
        <v/>
      </c>
      <c r="K10" s="17">
        <f>IFERROR(C10/C9-1,0)</f>
        <v/>
      </c>
    </row>
    <row r="11">
      <c r="A11" s="16" t="inlineStr">
        <is>
          <t>2017-10</t>
        </is>
      </c>
      <c r="B11" s="6" t="n">
        <v>4478</v>
      </c>
      <c r="C11" s="6" t="n">
        <v>648247.65</v>
      </c>
      <c r="D11" s="16" t="n">
        <v>237</v>
      </c>
      <c r="E11" s="16" t="n">
        <v>4478</v>
      </c>
      <c r="F11" s="16" t="n">
        <v>4446</v>
      </c>
      <c r="G11" s="16" t="n">
        <v>18696.5</v>
      </c>
      <c r="H11" s="8">
        <f>IFERROR(C11/B11,0)</f>
        <v/>
      </c>
      <c r="I11" s="9">
        <f>IFERROR(D11/E11,0)</f>
        <v/>
      </c>
      <c r="J11" s="10">
        <f>IFERROR(G11/F11,0)</f>
        <v/>
      </c>
      <c r="K11" s="17">
        <f>IFERROR(C11/C10-1,0)</f>
        <v/>
      </c>
    </row>
    <row r="12">
      <c r="A12" s="16" t="inlineStr">
        <is>
          <t>2017-11</t>
        </is>
      </c>
      <c r="B12" s="6" t="n">
        <v>7289</v>
      </c>
      <c r="C12" s="6" t="n">
        <v>987765.37</v>
      </c>
      <c r="D12" s="16" t="n">
        <v>1043</v>
      </c>
      <c r="E12" s="16" t="n">
        <v>7288</v>
      </c>
      <c r="F12" s="16" t="n">
        <v>7238</v>
      </c>
      <c r="G12" s="16" t="n">
        <v>28871.5</v>
      </c>
      <c r="H12" s="8">
        <f>IFERROR(C12/B12,0)</f>
        <v/>
      </c>
      <c r="I12" s="9">
        <f>IFERROR(D12/E12,0)</f>
        <v/>
      </c>
      <c r="J12" s="10">
        <f>IFERROR(G12/F12,0)</f>
        <v/>
      </c>
      <c r="K12" s="17">
        <f>IFERROR(C12/C11-1,0)</f>
        <v/>
      </c>
    </row>
    <row r="13">
      <c r="A13" s="16" t="inlineStr">
        <is>
          <t>2017-12</t>
        </is>
      </c>
      <c r="B13" s="6" t="n">
        <v>5513</v>
      </c>
      <c r="C13" s="6" t="n">
        <v>726033.1899999999</v>
      </c>
      <c r="D13" s="16" t="n">
        <v>462</v>
      </c>
      <c r="E13" s="16" t="n">
        <v>5513</v>
      </c>
      <c r="F13" s="16" t="n">
        <v>5461</v>
      </c>
      <c r="G13" s="16" t="n">
        <v>22333</v>
      </c>
      <c r="H13" s="8">
        <f>IFERROR(C13/B13,0)</f>
        <v/>
      </c>
      <c r="I13" s="9">
        <f>IFERROR(D13/E13,0)</f>
        <v/>
      </c>
      <c r="J13" s="10">
        <f>IFERROR(G13/F13,0)</f>
        <v/>
      </c>
      <c r="K13" s="17">
        <f>IFERROR(C13/C12-1,0)</f>
        <v/>
      </c>
    </row>
    <row r="14">
      <c r="A14" s="16" t="inlineStr">
        <is>
          <t>2018-01</t>
        </is>
      </c>
      <c r="B14" s="6" t="n">
        <v>7069</v>
      </c>
      <c r="C14" s="6" t="n">
        <v>924645</v>
      </c>
      <c r="D14" s="16" t="n">
        <v>464</v>
      </c>
      <c r="E14" s="16" t="n">
        <v>7069</v>
      </c>
      <c r="F14" s="16" t="n">
        <v>7013</v>
      </c>
      <c r="G14" s="16" t="n">
        <v>28814.5</v>
      </c>
      <c r="H14" s="8">
        <f>IFERROR(C14/B14,0)</f>
        <v/>
      </c>
      <c r="I14" s="9">
        <f>IFERROR(D14/E14,0)</f>
        <v/>
      </c>
      <c r="J14" s="10">
        <f>IFERROR(G14/F14,0)</f>
        <v/>
      </c>
      <c r="K14" s="17">
        <f>IFERROR(C14/C13-1,0)</f>
        <v/>
      </c>
    </row>
    <row r="15">
      <c r="A15" s="16" t="inlineStr">
        <is>
          <t>2018-02</t>
        </is>
      </c>
      <c r="B15" s="6" t="n">
        <v>6555</v>
      </c>
      <c r="C15" s="6" t="n">
        <v>826437.13</v>
      </c>
      <c r="D15" s="16" t="n">
        <v>1048</v>
      </c>
      <c r="E15" s="16" t="n">
        <v>6555</v>
      </c>
      <c r="F15" s="16" t="n">
        <v>6507</v>
      </c>
      <c r="G15" s="16" t="n">
        <v>25258.33333333334</v>
      </c>
      <c r="H15" s="8">
        <f>IFERROR(C15/B15,0)</f>
        <v/>
      </c>
      <c r="I15" s="9">
        <f>IFERROR(D15/E15,0)</f>
        <v/>
      </c>
      <c r="J15" s="10">
        <f>IFERROR(G15/F15,0)</f>
        <v/>
      </c>
      <c r="K15" s="17">
        <f>IFERROR(C15/C14-1,0)</f>
        <v/>
      </c>
    </row>
    <row r="16">
      <c r="A16" s="16" t="inlineStr">
        <is>
          <t>2018-03</t>
        </is>
      </c>
      <c r="B16" s="6" t="n">
        <v>7003</v>
      </c>
      <c r="C16" s="6" t="n">
        <v>953356.25</v>
      </c>
      <c r="D16" s="16" t="n">
        <v>1496</v>
      </c>
      <c r="E16" s="16" t="n">
        <v>7003</v>
      </c>
      <c r="F16" s="16" t="n">
        <v>6948</v>
      </c>
      <c r="G16" s="16" t="n">
        <v>26494.5</v>
      </c>
      <c r="H16" s="8">
        <f>IFERROR(C16/B16,0)</f>
        <v/>
      </c>
      <c r="I16" s="9">
        <f>IFERROR(D16/E16,0)</f>
        <v/>
      </c>
      <c r="J16" s="10">
        <f>IFERROR(G16/F16,0)</f>
        <v/>
      </c>
      <c r="K16" s="17">
        <f>IFERROR(C16/C15-1,0)</f>
        <v/>
      </c>
    </row>
    <row r="17">
      <c r="A17" s="16" t="inlineStr">
        <is>
          <t>2018-04</t>
        </is>
      </c>
      <c r="B17" s="6" t="n">
        <v>6798</v>
      </c>
      <c r="C17" s="6" t="n">
        <v>973534.09</v>
      </c>
      <c r="D17" s="16" t="n">
        <v>361</v>
      </c>
      <c r="E17" s="16" t="n">
        <v>6798</v>
      </c>
      <c r="F17" s="16" t="n">
        <v>6752</v>
      </c>
      <c r="G17" s="16" t="n">
        <v>28400.5</v>
      </c>
      <c r="H17" s="8">
        <f>IFERROR(C17/B17,0)</f>
        <v/>
      </c>
      <c r="I17" s="9">
        <f>IFERROR(D17/E17,0)</f>
        <v/>
      </c>
      <c r="J17" s="10">
        <f>IFERROR(G17/F17,0)</f>
        <v/>
      </c>
      <c r="K17" s="17">
        <f>IFERROR(C17/C16-1,0)</f>
        <v/>
      </c>
    </row>
    <row r="18">
      <c r="A18" s="16" t="inlineStr">
        <is>
          <t>2018-05</t>
        </is>
      </c>
      <c r="B18" s="6" t="n">
        <v>6749</v>
      </c>
      <c r="C18" s="6" t="n">
        <v>977544.6899999999</v>
      </c>
      <c r="D18" s="16" t="n">
        <v>556</v>
      </c>
      <c r="E18" s="16" t="n">
        <v>6749</v>
      </c>
      <c r="F18" s="16" t="n">
        <v>6722</v>
      </c>
      <c r="G18" s="16" t="n">
        <v>28476</v>
      </c>
      <c r="H18" s="8">
        <f>IFERROR(C18/B18,0)</f>
        <v/>
      </c>
      <c r="I18" s="9">
        <f>IFERROR(D18/E18,0)</f>
        <v/>
      </c>
      <c r="J18" s="10">
        <f>IFERROR(G18/F18,0)</f>
        <v/>
      </c>
      <c r="K18" s="17">
        <f>IFERROR(C18/C17-1,0)</f>
        <v/>
      </c>
    </row>
    <row r="19">
      <c r="A19" s="16" t="inlineStr">
        <is>
          <t>2018-06</t>
        </is>
      </c>
      <c r="B19" s="6" t="n">
        <v>6099</v>
      </c>
      <c r="C19" s="6" t="n">
        <v>856077.86</v>
      </c>
      <c r="D19" s="16" t="n">
        <v>83</v>
      </c>
      <c r="E19" s="16" t="n">
        <v>6096</v>
      </c>
      <c r="F19" s="16" t="n">
        <v>6075</v>
      </c>
      <c r="G19" s="16" t="n">
        <v>26165</v>
      </c>
      <c r="H19" s="8">
        <f>IFERROR(C19/B19,0)</f>
        <v/>
      </c>
      <c r="I19" s="9">
        <f>IFERROR(D19/E19,0)</f>
        <v/>
      </c>
      <c r="J19" s="10">
        <f>IFERROR(G19/F19,0)</f>
        <v/>
      </c>
      <c r="K19" s="17">
        <f>IFERROR(C19/C18-1,0)</f>
        <v/>
      </c>
    </row>
    <row r="20">
      <c r="A20" s="16" t="inlineStr">
        <is>
          <t>2018-07</t>
        </is>
      </c>
      <c r="B20" s="6" t="n">
        <v>6159</v>
      </c>
      <c r="C20" s="6" t="n">
        <v>867953.46</v>
      </c>
      <c r="D20" s="16" t="n">
        <v>276</v>
      </c>
      <c r="E20" s="16" t="n">
        <v>6156</v>
      </c>
      <c r="F20" s="16" t="n">
        <v>6121</v>
      </c>
      <c r="G20" s="16" t="n">
        <v>26431</v>
      </c>
      <c r="H20" s="8">
        <f>IFERROR(C20/B20,0)</f>
        <v/>
      </c>
      <c r="I20" s="9">
        <f>IFERROR(D20/E20,0)</f>
        <v/>
      </c>
      <c r="J20" s="10">
        <f>IFERROR(G20/F20,0)</f>
        <v/>
      </c>
      <c r="K20" s="17">
        <f>IFERROR(C20/C19-1,0)</f>
        <v/>
      </c>
    </row>
    <row r="21">
      <c r="A21" s="16" t="inlineStr">
        <is>
          <t>2018-08</t>
        </is>
      </c>
      <c r="B21" s="6" t="n">
        <v>6351</v>
      </c>
      <c r="C21" s="6" t="n">
        <v>838576.64</v>
      </c>
      <c r="D21" s="16" t="n">
        <v>660</v>
      </c>
      <c r="E21" s="16" t="n">
        <v>6351</v>
      </c>
      <c r="F21" s="16" t="n">
        <v>6330</v>
      </c>
      <c r="G21" s="16" t="n">
        <v>27284.5</v>
      </c>
      <c r="H21" s="8">
        <f>IFERROR(C21/B21,0)</f>
        <v/>
      </c>
      <c r="I21" s="9">
        <f>IFERROR(D21/E21,0)</f>
        <v/>
      </c>
      <c r="J21" s="10">
        <f>IFERROR(G21/F21,0)</f>
        <v/>
      </c>
      <c r="K21" s="17">
        <f>IFERROR(C21/C20-1,0)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</cols>
  <sheetData>
    <row r="1">
      <c r="A1" s="4" t="inlineStr">
        <is>
          <t>category</t>
        </is>
      </c>
      <c r="B1" s="4" t="inlineStr">
        <is>
          <t>orders</t>
        </is>
      </c>
      <c r="C1" s="4" t="inlineStr">
        <is>
          <t>revenue</t>
        </is>
      </c>
      <c r="D1" s="4" t="inlineStr">
        <is>
          <t>avg_score</t>
        </is>
      </c>
      <c r="E1" s="4" t="inlineStr">
        <is>
          <t>Revenue share</t>
        </is>
      </c>
      <c r="F1" s="4" t="inlineStr">
        <is>
          <t>Revenue rank</t>
        </is>
      </c>
    </row>
    <row r="2">
      <c r="A2" s="16" t="inlineStr">
        <is>
          <t>health_beauty</t>
        </is>
      </c>
      <c r="B2" s="6" t="n">
        <v>8647</v>
      </c>
      <c r="C2" s="6" t="n">
        <v>1237439.95</v>
      </c>
      <c r="D2" s="16" t="n">
        <v>4.19</v>
      </c>
      <c r="E2" s="9">
        <f>C2/SUM($C$2:$C$33)</f>
        <v/>
      </c>
      <c r="F2" s="16">
        <f>RANK(C2,$C$2:$C$33)</f>
        <v/>
      </c>
    </row>
    <row r="3">
      <c r="A3" s="16" t="inlineStr">
        <is>
          <t>watches_gifts</t>
        </is>
      </c>
      <c r="B3" s="6" t="n">
        <v>5495</v>
      </c>
      <c r="C3" s="6" t="n">
        <v>1167246.63</v>
      </c>
      <c r="D3" s="16" t="n">
        <v>4.07</v>
      </c>
      <c r="E3" s="9">
        <f>C3/SUM($C$2:$C$33)</f>
        <v/>
      </c>
      <c r="F3" s="16">
        <f>RANK(C3,$C$2:$C$33)</f>
        <v/>
      </c>
    </row>
    <row r="4">
      <c r="A4" s="16" t="inlineStr">
        <is>
          <t>bed_bath_table</t>
        </is>
      </c>
      <c r="B4" s="6" t="n">
        <v>9272</v>
      </c>
      <c r="C4" s="6" t="n">
        <v>1037177.69</v>
      </c>
      <c r="D4" s="16" t="n">
        <v>3.92</v>
      </c>
      <c r="E4" s="9">
        <f>C4/SUM($C$2:$C$33)</f>
        <v/>
      </c>
      <c r="F4" s="16">
        <f>RANK(C4,$C$2:$C$33)</f>
        <v/>
      </c>
    </row>
    <row r="5">
      <c r="A5" s="16" t="inlineStr">
        <is>
          <t>sports_leisure</t>
        </is>
      </c>
      <c r="B5" s="6" t="n">
        <v>7530</v>
      </c>
      <c r="C5" s="6" t="n">
        <v>960189.09</v>
      </c>
      <c r="D5" s="16" t="n">
        <v>4.17</v>
      </c>
      <c r="E5" s="9">
        <f>C5/SUM($C$2:$C$33)</f>
        <v/>
      </c>
      <c r="F5" s="16">
        <f>RANK(C5,$C$2:$C$33)</f>
        <v/>
      </c>
    </row>
    <row r="6">
      <c r="A6" s="16" t="inlineStr">
        <is>
          <t>computers_accessories</t>
        </is>
      </c>
      <c r="B6" s="6" t="n">
        <v>6530</v>
      </c>
      <c r="C6" s="6" t="n">
        <v>896243.28</v>
      </c>
      <c r="D6" s="16" t="n">
        <v>3.98</v>
      </c>
      <c r="E6" s="9">
        <f>C6/SUM($C$2:$C$33)</f>
        <v/>
      </c>
      <c r="F6" s="16">
        <f>RANK(C6,$C$2:$C$33)</f>
        <v/>
      </c>
    </row>
    <row r="7">
      <c r="A7" s="16" t="inlineStr">
        <is>
          <t>furniture_decor</t>
        </is>
      </c>
      <c r="B7" s="6" t="n">
        <v>6307</v>
      </c>
      <c r="C7" s="6" t="n">
        <v>718344.78</v>
      </c>
      <c r="D7" s="16" t="n">
        <v>3.95</v>
      </c>
      <c r="E7" s="9">
        <f>C7/SUM($C$2:$C$33)</f>
        <v/>
      </c>
      <c r="F7" s="16">
        <f>RANK(C7,$C$2:$C$33)</f>
        <v/>
      </c>
    </row>
    <row r="8">
      <c r="A8" s="16" t="inlineStr">
        <is>
          <t>housewares</t>
        </is>
      </c>
      <c r="B8" s="6" t="n">
        <v>5743</v>
      </c>
      <c r="C8" s="6" t="n">
        <v>617836.73</v>
      </c>
      <c r="D8" s="16" t="n">
        <v>4.11</v>
      </c>
      <c r="E8" s="9">
        <f>C8/SUM($C$2:$C$33)</f>
        <v/>
      </c>
      <c r="F8" s="16">
        <f>RANK(C8,$C$2:$C$33)</f>
        <v/>
      </c>
    </row>
    <row r="9">
      <c r="A9" s="16" t="inlineStr">
        <is>
          <t>cool_stuff</t>
        </is>
      </c>
      <c r="B9" s="6" t="n">
        <v>3559</v>
      </c>
      <c r="C9" s="6" t="n">
        <v>612071.86</v>
      </c>
      <c r="D9" s="16" t="n">
        <v>4.19</v>
      </c>
      <c r="E9" s="9">
        <f>C9/SUM($C$2:$C$33)</f>
        <v/>
      </c>
      <c r="F9" s="16">
        <f>RANK(C9,$C$2:$C$33)</f>
        <v/>
      </c>
    </row>
    <row r="10">
      <c r="A10" s="16" t="inlineStr">
        <is>
          <t>auto</t>
        </is>
      </c>
      <c r="B10" s="6" t="n">
        <v>3810</v>
      </c>
      <c r="C10" s="6" t="n">
        <v>580263.4399999999</v>
      </c>
      <c r="D10" s="16" t="n">
        <v>4.12</v>
      </c>
      <c r="E10" s="9">
        <f>C10/SUM($C$2:$C$33)</f>
        <v/>
      </c>
      <c r="F10" s="16">
        <f>RANK(C10,$C$2:$C$33)</f>
        <v/>
      </c>
    </row>
    <row r="11">
      <c r="A11" s="16" t="inlineStr">
        <is>
          <t>toys</t>
        </is>
      </c>
      <c r="B11" s="6" t="n">
        <v>3804</v>
      </c>
      <c r="C11" s="6" t="n">
        <v>472109.78</v>
      </c>
      <c r="D11" s="16" t="n">
        <v>4.21</v>
      </c>
      <c r="E11" s="9">
        <f>C11/SUM($C$2:$C$33)</f>
        <v/>
      </c>
      <c r="F11" s="16">
        <f>RANK(C11,$C$2:$C$33)</f>
        <v/>
      </c>
    </row>
    <row r="12">
      <c r="A12" s="16" t="inlineStr">
        <is>
          <t>garden_tools</t>
        </is>
      </c>
      <c r="B12" s="6" t="n">
        <v>3448</v>
      </c>
      <c r="C12" s="6" t="n">
        <v>471671.27</v>
      </c>
      <c r="D12" s="16" t="n">
        <v>4.08</v>
      </c>
      <c r="E12" s="9">
        <f>C12/SUM($C$2:$C$33)</f>
        <v/>
      </c>
      <c r="F12" s="16">
        <f>RANK(C12,$C$2:$C$33)</f>
        <v/>
      </c>
    </row>
    <row r="13">
      <c r="A13" s="16" t="inlineStr">
        <is>
          <t>baby</t>
        </is>
      </c>
      <c r="B13" s="6" t="n">
        <v>2809</v>
      </c>
      <c r="C13" s="6" t="n">
        <v>400774.42</v>
      </c>
      <c r="D13" s="16" t="n">
        <v>4.08</v>
      </c>
      <c r="E13" s="9">
        <f>C13/SUM($C$2:$C$33)</f>
        <v/>
      </c>
      <c r="F13" s="16">
        <f>RANK(C13,$C$2:$C$33)</f>
        <v/>
      </c>
    </row>
    <row r="14">
      <c r="A14" s="16" t="inlineStr">
        <is>
          <t>perfumery</t>
        </is>
      </c>
      <c r="B14" s="6" t="n">
        <v>3086</v>
      </c>
      <c r="C14" s="6" t="n">
        <v>391175.73</v>
      </c>
      <c r="D14" s="16" t="n">
        <v>4.22</v>
      </c>
      <c r="E14" s="9">
        <f>C14/SUM($C$2:$C$33)</f>
        <v/>
      </c>
      <c r="F14" s="16">
        <f>RANK(C14,$C$2:$C$33)</f>
        <v/>
      </c>
    </row>
    <row r="15">
      <c r="A15" s="16" t="inlineStr">
        <is>
          <t>telephony</t>
        </is>
      </c>
      <c r="B15" s="6" t="n">
        <v>4093</v>
      </c>
      <c r="C15" s="6" t="n">
        <v>310004.11</v>
      </c>
      <c r="D15" s="16" t="n">
        <v>4</v>
      </c>
      <c r="E15" s="9">
        <f>C15/SUM($C$2:$C$33)</f>
        <v/>
      </c>
      <c r="F15" s="16">
        <f>RANK(C15,$C$2:$C$33)</f>
        <v/>
      </c>
    </row>
    <row r="16">
      <c r="A16" s="16" t="inlineStr">
        <is>
          <t>office_furniture</t>
        </is>
      </c>
      <c r="B16" s="6" t="n">
        <v>1254</v>
      </c>
      <c r="C16" s="6" t="n">
        <v>269418.1</v>
      </c>
      <c r="D16" s="16" t="n">
        <v>3.52</v>
      </c>
      <c r="E16" s="9">
        <f>C16/SUM($C$2:$C$33)</f>
        <v/>
      </c>
      <c r="F16" s="16">
        <f>RANK(C16,$C$2:$C$33)</f>
        <v/>
      </c>
    </row>
    <row r="17">
      <c r="A17" s="16" t="inlineStr">
        <is>
          <t>stationery</t>
        </is>
      </c>
      <c r="B17" s="6" t="n">
        <v>2264</v>
      </c>
      <c r="C17" s="6" t="n">
        <v>224145.67</v>
      </c>
      <c r="D17" s="16" t="n">
        <v>4.24</v>
      </c>
      <c r="E17" s="9">
        <f>C17/SUM($C$2:$C$33)</f>
        <v/>
      </c>
      <c r="F17" s="16">
        <f>RANK(C17,$C$2:$C$33)</f>
        <v/>
      </c>
    </row>
    <row r="18">
      <c r="A18" s="16" t="inlineStr">
        <is>
          <t>pet_shop</t>
        </is>
      </c>
      <c r="B18" s="6" t="n">
        <v>1688</v>
      </c>
      <c r="C18" s="6" t="n">
        <v>211971.64</v>
      </c>
      <c r="D18" s="16" t="n">
        <v>4.22</v>
      </c>
      <c r="E18" s="9">
        <f>C18/SUM($C$2:$C$33)</f>
        <v/>
      </c>
      <c r="F18" s="16">
        <f>RANK(C18,$C$2:$C$33)</f>
        <v/>
      </c>
    </row>
    <row r="19">
      <c r="A19" s="16" t="inlineStr">
        <is>
          <t>musical_instruments</t>
        </is>
      </c>
      <c r="B19" s="6" t="n">
        <v>611</v>
      </c>
      <c r="C19" s="6" t="n">
        <v>184340.64</v>
      </c>
      <c r="D19" s="16" t="n">
        <v>4.22</v>
      </c>
      <c r="E19" s="9">
        <f>C19/SUM($C$2:$C$33)</f>
        <v/>
      </c>
      <c r="F19" s="16">
        <f>RANK(C19,$C$2:$C$33)</f>
        <v/>
      </c>
    </row>
    <row r="20">
      <c r="A20" s="16" t="inlineStr">
        <is>
          <t>small_appliances</t>
        </is>
      </c>
      <c r="B20" s="6" t="n">
        <v>609</v>
      </c>
      <c r="C20" s="6" t="n">
        <v>183677.02</v>
      </c>
      <c r="D20" s="16" t="n">
        <v>4.23</v>
      </c>
      <c r="E20" s="9">
        <f>C20/SUM($C$2:$C$33)</f>
        <v/>
      </c>
      <c r="F20" s="16">
        <f>RANK(C20,$C$2:$C$33)</f>
        <v/>
      </c>
    </row>
    <row r="21">
      <c r="A21" s="16" t="inlineStr">
        <is>
          <t>unknown</t>
        </is>
      </c>
      <c r="B21" s="6" t="n">
        <v>1392</v>
      </c>
      <c r="C21" s="6" t="n">
        <v>171438.59</v>
      </c>
      <c r="D21" s="16" t="n">
        <v>3.94</v>
      </c>
      <c r="E21" s="9">
        <f>C21/SUM($C$2:$C$33)</f>
        <v/>
      </c>
      <c r="F21" s="16">
        <f>RANK(C21,$C$2:$C$33)</f>
        <v/>
      </c>
    </row>
    <row r="22">
      <c r="A22" s="16" t="inlineStr">
        <is>
          <t>electronics</t>
        </is>
      </c>
      <c r="B22" s="6" t="n">
        <v>2517</v>
      </c>
      <c r="C22" s="6" t="n">
        <v>155173.83</v>
      </c>
      <c r="D22" s="16" t="n">
        <v>4.07</v>
      </c>
      <c r="E22" s="9">
        <f>C22/SUM($C$2:$C$33)</f>
        <v/>
      </c>
      <c r="F22" s="16">
        <f>RANK(C22,$C$2:$C$33)</f>
        <v/>
      </c>
    </row>
    <row r="23">
      <c r="A23" s="16" t="inlineStr">
        <is>
          <t>fashion_bags_accessories</t>
        </is>
      </c>
      <c r="B23" s="6" t="n">
        <v>1820</v>
      </c>
      <c r="C23" s="6" t="n">
        <v>150162.75</v>
      </c>
      <c r="D23" s="16" t="n">
        <v>4.19</v>
      </c>
      <c r="E23" s="9">
        <f>C23/SUM($C$2:$C$33)</f>
        <v/>
      </c>
      <c r="F23" s="16">
        <f>RANK(C23,$C$2:$C$33)</f>
        <v/>
      </c>
    </row>
    <row r="24">
      <c r="A24" s="16" t="inlineStr">
        <is>
          <t>consoles_games</t>
        </is>
      </c>
      <c r="B24" s="6" t="n">
        <v>1018</v>
      </c>
      <c r="C24" s="6" t="n">
        <v>148538.37</v>
      </c>
      <c r="D24" s="16" t="n">
        <v>4.14</v>
      </c>
      <c r="E24" s="9">
        <f>C24/SUM($C$2:$C$33)</f>
        <v/>
      </c>
      <c r="F24" s="16">
        <f>RANK(C24,$C$2:$C$33)</f>
        <v/>
      </c>
    </row>
    <row r="25">
      <c r="A25" s="16" t="inlineStr">
        <is>
          <t>construction_tools_construction</t>
        </is>
      </c>
      <c r="B25" s="6" t="n">
        <v>736</v>
      </c>
      <c r="C25" s="6" t="n">
        <v>142940.29</v>
      </c>
      <c r="D25" s="16" t="n">
        <v>4.09</v>
      </c>
      <c r="E25" s="9">
        <f>C25/SUM($C$2:$C$33)</f>
        <v/>
      </c>
      <c r="F25" s="16">
        <f>RANK(C25,$C$2:$C$33)</f>
        <v/>
      </c>
    </row>
    <row r="26">
      <c r="A26" s="16" t="inlineStr">
        <is>
          <t>luggage_accessories</t>
        </is>
      </c>
      <c r="B26" s="6" t="n">
        <v>1019</v>
      </c>
      <c r="C26" s="6" t="n">
        <v>138701.63</v>
      </c>
      <c r="D26" s="16" t="n">
        <v>4.35</v>
      </c>
      <c r="E26" s="9">
        <f>C26/SUM($C$2:$C$33)</f>
        <v/>
      </c>
      <c r="F26" s="16">
        <f>RANK(C26,$C$2:$C$33)</f>
        <v/>
      </c>
    </row>
    <row r="27">
      <c r="A27" s="16" t="inlineStr">
        <is>
          <t>home_appliances</t>
        </is>
      </c>
      <c r="B27" s="6" t="n">
        <v>747</v>
      </c>
      <c r="C27" s="6" t="n">
        <v>81856.55</v>
      </c>
      <c r="D27" s="16" t="n">
        <v>4.23</v>
      </c>
      <c r="E27" s="9">
        <f>C27/SUM($C$2:$C$33)</f>
        <v/>
      </c>
      <c r="F27" s="16">
        <f>RANK(C27,$C$2:$C$33)</f>
        <v/>
      </c>
    </row>
    <row r="28">
      <c r="A28" s="16" t="inlineStr">
        <is>
          <t>home_construction</t>
        </is>
      </c>
      <c r="B28" s="6" t="n">
        <v>483</v>
      </c>
      <c r="C28" s="6" t="n">
        <v>81527.42</v>
      </c>
      <c r="D28" s="16" t="n">
        <v>3.96</v>
      </c>
      <c r="E28" s="9">
        <f>C28/SUM($C$2:$C$33)</f>
        <v/>
      </c>
      <c r="F28" s="16">
        <f>RANK(C28,$C$2:$C$33)</f>
        <v/>
      </c>
    </row>
    <row r="29">
      <c r="A29" s="16" t="inlineStr">
        <is>
          <t>furniture_living_room</t>
        </is>
      </c>
      <c r="B29" s="6" t="n">
        <v>414</v>
      </c>
      <c r="C29" s="6" t="n">
        <v>67861.39999999999</v>
      </c>
      <c r="D29" s="16" t="n">
        <v>3.94</v>
      </c>
      <c r="E29" s="9">
        <f>C29/SUM($C$2:$C$33)</f>
        <v/>
      </c>
      <c r="F29" s="16">
        <f>RANK(C29,$C$2:$C$33)</f>
        <v/>
      </c>
    </row>
    <row r="30">
      <c r="A30" s="16" t="inlineStr">
        <is>
          <t>home_confort</t>
        </is>
      </c>
      <c r="B30" s="6" t="n">
        <v>392</v>
      </c>
      <c r="C30" s="6" t="n">
        <v>58265.15</v>
      </c>
      <c r="D30" s="16" t="n">
        <v>3.85</v>
      </c>
      <c r="E30" s="9">
        <f>C30/SUM($C$2:$C$33)</f>
        <v/>
      </c>
      <c r="F30" s="16">
        <f>RANK(C30,$C$2:$C$33)</f>
        <v/>
      </c>
    </row>
    <row r="31">
      <c r="A31" s="16" t="inlineStr">
        <is>
          <t>audio</t>
        </is>
      </c>
      <c r="B31" s="6" t="n">
        <v>348</v>
      </c>
      <c r="C31" s="6" t="n">
        <v>50620.5</v>
      </c>
      <c r="D31" s="16" t="n">
        <v>3.83</v>
      </c>
      <c r="E31" s="9">
        <f>C31/SUM($C$2:$C$33)</f>
        <v/>
      </c>
      <c r="F31" s="16">
        <f>RANK(C31,$C$2:$C$33)</f>
        <v/>
      </c>
    </row>
    <row r="32">
      <c r="A32" s="16" t="inlineStr">
        <is>
          <t>books_general_interest</t>
        </is>
      </c>
      <c r="B32" s="6" t="n">
        <v>496</v>
      </c>
      <c r="C32" s="6" t="n">
        <v>45302.15</v>
      </c>
      <c r="D32" s="16" t="n">
        <v>4.51</v>
      </c>
      <c r="E32" s="9">
        <f>C32/SUM($C$2:$C$33)</f>
        <v/>
      </c>
      <c r="F32" s="16">
        <f>RANK(C32,$C$2:$C$33)</f>
        <v/>
      </c>
    </row>
    <row r="33">
      <c r="A33" s="16" t="inlineStr">
        <is>
          <t>food</t>
        </is>
      </c>
      <c r="B33" s="6" t="n">
        <v>441</v>
      </c>
      <c r="C33" s="6" t="n">
        <v>28731.15</v>
      </c>
      <c r="D33" s="16" t="n">
        <v>4.26</v>
      </c>
      <c r="E33" s="9">
        <f>C33/SUM($C$2:$C$33)</f>
        <v/>
      </c>
      <c r="F33" s="16">
        <f>RANK(C33,$C$2:$C$33)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8" customWidth="1" min="4" max="4"/>
  </cols>
  <sheetData>
    <row r="1">
      <c r="A1" s="4" t="inlineStr">
        <is>
          <t>topic</t>
        </is>
      </c>
      <c r="B1" s="4" t="inlineStr">
        <is>
          <t>negative_reviews</t>
        </is>
      </c>
      <c r="C1" s="4" t="inlineStr">
        <is>
          <t>high_urgency</t>
        </is>
      </c>
      <c r="D1" s="4" t="inlineStr">
        <is>
          <t>Share of complaints</t>
        </is>
      </c>
    </row>
    <row r="2">
      <c r="A2" s="16" t="inlineStr">
        <is>
          <t>wrong_or_missing_item</t>
        </is>
      </c>
      <c r="B2" s="16" t="n">
        <v>220</v>
      </c>
      <c r="C2" s="16" t="n">
        <v>101</v>
      </c>
      <c r="D2" s="18">
        <f>B2/SUM($B$2:$B$8)</f>
        <v/>
      </c>
    </row>
    <row r="3">
      <c r="A3" s="16" t="inlineStr">
        <is>
          <t>not_received</t>
        </is>
      </c>
      <c r="B3" s="16" t="n">
        <v>148</v>
      </c>
      <c r="C3" s="16" t="n">
        <v>144</v>
      </c>
      <c r="D3" s="18">
        <f>B3/SUM($B$2:$B$8)</f>
        <v/>
      </c>
    </row>
    <row r="4">
      <c r="A4" s="16" t="inlineStr">
        <is>
          <t>damaged_or_defective</t>
        </is>
      </c>
      <c r="B4" s="16" t="n">
        <v>113</v>
      </c>
      <c r="C4" s="16" t="n">
        <v>89</v>
      </c>
      <c r="D4" s="18">
        <f>B4/SUM($B$2:$B$8)</f>
        <v/>
      </c>
    </row>
    <row r="5">
      <c r="A5" s="16" t="inlineStr">
        <is>
          <t>quality_not_as_described</t>
        </is>
      </c>
      <c r="B5" s="16" t="n">
        <v>101</v>
      </c>
      <c r="C5" s="16" t="n">
        <v>30</v>
      </c>
      <c r="D5" s="18">
        <f>B5/SUM($B$2:$B$8)</f>
        <v/>
      </c>
    </row>
    <row r="6">
      <c r="A6" s="16" t="inlineStr">
        <is>
          <t>late_delivery</t>
        </is>
      </c>
      <c r="B6" s="16" t="n">
        <v>94</v>
      </c>
      <c r="C6" s="16" t="n">
        <v>45</v>
      </c>
      <c r="D6" s="18">
        <f>B6/SUM($B$2:$B$8)</f>
        <v/>
      </c>
    </row>
    <row r="7">
      <c r="A7" s="16" t="inlineStr">
        <is>
          <t>seller_service</t>
        </is>
      </c>
      <c r="B7" s="16" t="n">
        <v>59</v>
      </c>
      <c r="C7" s="16" t="n">
        <v>33</v>
      </c>
      <c r="D7" s="18">
        <f>B7/SUM($B$2:$B$8)</f>
        <v/>
      </c>
    </row>
    <row r="8">
      <c r="A8" s="16" t="inlineStr">
        <is>
          <t>other</t>
        </is>
      </c>
      <c r="B8" s="16" t="n">
        <v>7</v>
      </c>
      <c r="C8" s="16" t="n">
        <v>1</v>
      </c>
      <c r="D8" s="18">
        <f>B8/SUM($B$2:$B$8)</f>
        <v/>
      </c>
    </row>
    <row r="10">
      <c r="A10" s="19" t="inlineStr">
        <is>
          <t>Source: AI labels of review text, provider = ollama (see results/evaluation.md for measured accuracy).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2026-10-02T19:23:22Z</dcterms:created>
  <dcterms:modified xsi:type="dcterms:W3CDTF">2026-10-02T19:23:22Z</dcterms:modified>
</cp:coreProperties>
</file>